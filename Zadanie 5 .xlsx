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ha\OneDrive\Desktop\Studia\"/>
    </mc:Choice>
  </mc:AlternateContent>
  <xr:revisionPtr revIDLastSave="0" documentId="13_ncr:1_{CD3838D2-DD0D-48A7-9811-1C26BA6A899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rkusz1" sheetId="1" r:id="rId1"/>
    <sheet name="Arkusz2" sheetId="2" r:id="rId2"/>
    <sheet name="Arkusz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2" i="1"/>
  <c r="I3" i="1"/>
  <c r="J3" i="1" s="1"/>
  <c r="K3" i="1" s="1"/>
  <c r="L3" i="1" s="1"/>
  <c r="I4" i="1"/>
  <c r="J4" i="1" s="1"/>
  <c r="K4" i="1" s="1"/>
  <c r="L4" i="1" s="1"/>
  <c r="I5" i="1"/>
  <c r="J5" i="1" s="1"/>
  <c r="K5" i="1" s="1"/>
  <c r="L5" i="1" s="1"/>
  <c r="I6" i="1"/>
  <c r="J6" i="1" s="1"/>
  <c r="K6" i="1" s="1"/>
  <c r="L6" i="1" s="1"/>
  <c r="I7" i="1"/>
  <c r="J7" i="1" s="1"/>
  <c r="K7" i="1" s="1"/>
  <c r="L7" i="1" s="1"/>
  <c r="I8" i="1"/>
  <c r="J8" i="1" s="1"/>
  <c r="K8" i="1" s="1"/>
  <c r="L8" i="1" s="1"/>
  <c r="I9" i="1"/>
  <c r="J9" i="1" s="1"/>
  <c r="K9" i="1" s="1"/>
  <c r="L9" i="1" s="1"/>
  <c r="I10" i="1"/>
  <c r="J10" i="1" s="1"/>
  <c r="K10" i="1" s="1"/>
  <c r="L10" i="1" s="1"/>
  <c r="I11" i="1"/>
  <c r="J11" i="1" s="1"/>
  <c r="K11" i="1" s="1"/>
  <c r="L11" i="1" s="1"/>
  <c r="I12" i="1"/>
  <c r="J12" i="1" s="1"/>
  <c r="K12" i="1" s="1"/>
  <c r="L12" i="1" s="1"/>
  <c r="I13" i="1"/>
  <c r="J13" i="1" s="1"/>
  <c r="K13" i="1" s="1"/>
  <c r="L13" i="1" s="1"/>
  <c r="I14" i="1"/>
  <c r="J14" i="1" s="1"/>
  <c r="K14" i="1" s="1"/>
  <c r="L14" i="1" s="1"/>
  <c r="I15" i="1"/>
  <c r="J15" i="1" s="1"/>
  <c r="K15" i="1" s="1"/>
  <c r="L15" i="1" s="1"/>
  <c r="I16" i="1"/>
  <c r="J16" i="1" s="1"/>
  <c r="K16" i="1" s="1"/>
  <c r="L16" i="1" s="1"/>
  <c r="I17" i="1"/>
  <c r="J17" i="1" s="1"/>
  <c r="K17" i="1" s="1"/>
  <c r="L17" i="1" s="1"/>
  <c r="I18" i="1"/>
  <c r="J18" i="1" s="1"/>
  <c r="K18" i="1" s="1"/>
  <c r="L18" i="1" s="1"/>
  <c r="I19" i="1"/>
  <c r="J19" i="1" s="1"/>
  <c r="K19" i="1" s="1"/>
  <c r="L19" i="1" s="1"/>
  <c r="I20" i="1"/>
  <c r="J20" i="1" s="1"/>
  <c r="K20" i="1" s="1"/>
  <c r="L20" i="1" s="1"/>
  <c r="I21" i="1"/>
  <c r="J21" i="1" s="1"/>
  <c r="K21" i="1" s="1"/>
  <c r="L21" i="1" s="1"/>
  <c r="I22" i="1"/>
  <c r="J22" i="1" s="1"/>
  <c r="K22" i="1" s="1"/>
  <c r="L22" i="1" s="1"/>
  <c r="I23" i="1"/>
  <c r="J23" i="1" s="1"/>
  <c r="K23" i="1" s="1"/>
  <c r="L23" i="1" s="1"/>
  <c r="I24" i="1"/>
  <c r="J24" i="1" s="1"/>
  <c r="K24" i="1" s="1"/>
  <c r="L24" i="1" s="1"/>
  <c r="I25" i="1"/>
  <c r="J25" i="1" s="1"/>
  <c r="K25" i="1" s="1"/>
  <c r="L25" i="1" s="1"/>
  <c r="I26" i="1"/>
  <c r="J26" i="1" s="1"/>
  <c r="K26" i="1" s="1"/>
  <c r="L26" i="1" s="1"/>
  <c r="I27" i="1"/>
  <c r="J27" i="1" s="1"/>
  <c r="K27" i="1" s="1"/>
  <c r="L27" i="1" s="1"/>
  <c r="I28" i="1"/>
  <c r="J28" i="1" s="1"/>
  <c r="K28" i="1" s="1"/>
  <c r="L28" i="1" s="1"/>
  <c r="I29" i="1"/>
  <c r="J29" i="1" s="1"/>
  <c r="K29" i="1" s="1"/>
  <c r="L29" i="1" s="1"/>
  <c r="I30" i="1"/>
  <c r="J30" i="1" s="1"/>
  <c r="K30" i="1" s="1"/>
  <c r="L30" i="1" s="1"/>
  <c r="I31" i="1"/>
  <c r="J31" i="1" s="1"/>
  <c r="K31" i="1" s="1"/>
  <c r="L31" i="1" s="1"/>
  <c r="I32" i="1"/>
  <c r="J32" i="1" s="1"/>
  <c r="K32" i="1" s="1"/>
  <c r="L32" i="1" s="1"/>
  <c r="I33" i="1"/>
  <c r="J33" i="1" s="1"/>
  <c r="K33" i="1" s="1"/>
  <c r="L33" i="1" s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H2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2" i="1"/>
  <c r="J2" i="1" l="1"/>
  <c r="K2" i="1" s="1"/>
  <c r="L2" i="1" s="1"/>
</calcChain>
</file>

<file path=xl/sharedStrings.xml><?xml version="1.0" encoding="utf-8"?>
<sst xmlns="http://schemas.openxmlformats.org/spreadsheetml/2006/main" count="13" uniqueCount="13">
  <si>
    <t>Nr studenta</t>
  </si>
  <si>
    <t>czas przybycia</t>
  </si>
  <si>
    <t>czas obsługi</t>
  </si>
  <si>
    <t>liczba stanowisk obsługi r</t>
  </si>
  <si>
    <t>λ</t>
  </si>
  <si>
    <t>μ</t>
  </si>
  <si>
    <t>ρ</t>
  </si>
  <si>
    <t>P(n=0)</t>
  </si>
  <si>
    <t>Q</t>
  </si>
  <si>
    <t>W</t>
  </si>
  <si>
    <t>czas.przyb w min</t>
  </si>
  <si>
    <t xml:space="preserve">czas obs w min </t>
  </si>
  <si>
    <t>czas od pocztku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</si>
</sst>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Zmiany </a:t>
            </a:r>
            <a:r>
              <a:rPr lang="el-GR"/>
              <a:t>λ </a:t>
            </a:r>
            <a:r>
              <a:rPr lang="pl-PL"/>
              <a:t>i </a:t>
            </a:r>
            <a:r>
              <a:rPr lang="el-GR"/>
              <a:t>μ </a:t>
            </a:r>
            <a:r>
              <a:rPr lang="pl-PL"/>
              <a:t>w czasie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Arkusz1!$G$1</c:f>
              <c:strCache>
                <c:ptCount val="1"/>
                <c:pt idx="0">
                  <c:v>λ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Arkusz1!$M$1:$M$33</c:f>
              <c:strCache>
                <c:ptCount val="33"/>
                <c:pt idx="0">
                  <c:v>czas od pocztku</c:v>
                </c:pt>
                <c:pt idx="1">
                  <c:v>0</c:v>
                </c:pt>
                <c:pt idx="2">
                  <c:v>0,1</c:v>
                </c:pt>
                <c:pt idx="3">
                  <c:v>0,766666667</c:v>
                </c:pt>
                <c:pt idx="4">
                  <c:v>1,266666667</c:v>
                </c:pt>
                <c:pt idx="5">
                  <c:v>2,1</c:v>
                </c:pt>
                <c:pt idx="6">
                  <c:v>2,6</c:v>
                </c:pt>
                <c:pt idx="7">
                  <c:v>3,016666667</c:v>
                </c:pt>
                <c:pt idx="8">
                  <c:v>3,1</c:v>
                </c:pt>
                <c:pt idx="9">
                  <c:v>3,35</c:v>
                </c:pt>
                <c:pt idx="10">
                  <c:v>3,6</c:v>
                </c:pt>
                <c:pt idx="11">
                  <c:v>3,766666667</c:v>
                </c:pt>
                <c:pt idx="12">
                  <c:v>4,266666667</c:v>
                </c:pt>
                <c:pt idx="13">
                  <c:v>4,933333333</c:v>
                </c:pt>
                <c:pt idx="14">
                  <c:v>5,6</c:v>
                </c:pt>
                <c:pt idx="15">
                  <c:v>6,266666667</c:v>
                </c:pt>
                <c:pt idx="16">
                  <c:v>7,1</c:v>
                </c:pt>
                <c:pt idx="17">
                  <c:v>7,933333333</c:v>
                </c:pt>
                <c:pt idx="18">
                  <c:v>8,85</c:v>
                </c:pt>
                <c:pt idx="19">
                  <c:v>9,6</c:v>
                </c:pt>
                <c:pt idx="20">
                  <c:v>10,51666667</c:v>
                </c:pt>
                <c:pt idx="21">
                  <c:v>11,43333333</c:v>
                </c:pt>
                <c:pt idx="22">
                  <c:v>12,26666667</c:v>
                </c:pt>
                <c:pt idx="23">
                  <c:v>13,01666667</c:v>
                </c:pt>
                <c:pt idx="24">
                  <c:v>13,76666667</c:v>
                </c:pt>
                <c:pt idx="25">
                  <c:v>14,6</c:v>
                </c:pt>
                <c:pt idx="26">
                  <c:v>14,76666667</c:v>
                </c:pt>
                <c:pt idx="27">
                  <c:v>15,18333333</c:v>
                </c:pt>
                <c:pt idx="28">
                  <c:v>15,6</c:v>
                </c:pt>
                <c:pt idx="29">
                  <c:v>16,51666667</c:v>
                </c:pt>
                <c:pt idx="30">
                  <c:v>17,43333333</c:v>
                </c:pt>
                <c:pt idx="31">
                  <c:v>18,1</c:v>
                </c:pt>
                <c:pt idx="32">
                  <c:v>18,93333333</c:v>
                </c:pt>
              </c:strCache>
            </c:strRef>
          </c:cat>
          <c:val>
            <c:numRef>
              <c:f>Arkusz1!$G$2:$G$33</c:f>
              <c:numCache>
                <c:formatCode>General</c:formatCode>
                <c:ptCount val="32"/>
                <c:pt idx="0">
                  <c:v>1.6901408450704225</c:v>
                </c:pt>
                <c:pt idx="1">
                  <c:v>1.637323943661972</c:v>
                </c:pt>
                <c:pt idx="2">
                  <c:v>1.5929203539823009</c:v>
                </c:pt>
                <c:pt idx="3">
                  <c:v>1.596330275229358</c:v>
                </c:pt>
                <c:pt idx="4">
                  <c:v>1.5849056603773588</c:v>
                </c:pt>
                <c:pt idx="5">
                  <c:v>1.6039603960396045</c:v>
                </c:pt>
                <c:pt idx="6">
                  <c:v>1.5918367346938775</c:v>
                </c:pt>
                <c:pt idx="7">
                  <c:v>1.5706806282722514</c:v>
                </c:pt>
                <c:pt idx="8">
                  <c:v>1.5157894736842106</c:v>
                </c:pt>
                <c:pt idx="9">
                  <c:v>1.4759358288770055</c:v>
                </c:pt>
                <c:pt idx="10">
                  <c:v>1.4347826086956523</c:v>
                </c:pt>
                <c:pt idx="11">
                  <c:v>1.3846153846153848</c:v>
                </c:pt>
                <c:pt idx="12">
                  <c:v>1.3636363636363638</c:v>
                </c:pt>
                <c:pt idx="13">
                  <c:v>1.3571428571428574</c:v>
                </c:pt>
                <c:pt idx="14">
                  <c:v>1.35</c:v>
                </c:pt>
                <c:pt idx="15">
                  <c:v>1.3421052631578949</c:v>
                </c:pt>
                <c:pt idx="16">
                  <c:v>1.3521126760563384</c:v>
                </c:pt>
                <c:pt idx="17">
                  <c:v>1.3636363636363638</c:v>
                </c:pt>
                <c:pt idx="18">
                  <c:v>1.3884297520661157</c:v>
                </c:pt>
                <c:pt idx="19">
                  <c:v>1.3928571428571428</c:v>
                </c:pt>
                <c:pt idx="20">
                  <c:v>1.4257425742574257</c:v>
                </c:pt>
                <c:pt idx="21">
                  <c:v>1.4666666666666666</c:v>
                </c:pt>
                <c:pt idx="22">
                  <c:v>1.4999999999999998</c:v>
                </c:pt>
                <c:pt idx="23">
                  <c:v>1.5211267605633803</c:v>
                </c:pt>
                <c:pt idx="24">
                  <c:v>1.5483870967741937</c:v>
                </c:pt>
                <c:pt idx="25">
                  <c:v>1.6153846153846156</c:v>
                </c:pt>
                <c:pt idx="26">
                  <c:v>1.4400000000000004</c:v>
                </c:pt>
                <c:pt idx="27">
                  <c:v>1.3333333333333333</c:v>
                </c:pt>
                <c:pt idx="28">
                  <c:v>1.2</c:v>
                </c:pt>
                <c:pt idx="29">
                  <c:v>1.2413793103448276</c:v>
                </c:pt>
                <c:pt idx="30">
                  <c:v>1.3333333333333333</c:v>
                </c:pt>
                <c:pt idx="31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94-4788-9603-83DEAB6BDAE0}"/>
            </c:ext>
          </c:extLst>
        </c:ser>
        <c:ser>
          <c:idx val="1"/>
          <c:order val="1"/>
          <c:tx>
            <c:strRef>
              <c:f>Arkusz1!$H$1</c:f>
              <c:strCache>
                <c:ptCount val="1"/>
                <c:pt idx="0">
                  <c:v>μ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Arkusz1!$M$1:$M$33</c:f>
              <c:strCache>
                <c:ptCount val="33"/>
                <c:pt idx="0">
                  <c:v>czas od pocztku</c:v>
                </c:pt>
                <c:pt idx="1">
                  <c:v>0</c:v>
                </c:pt>
                <c:pt idx="2">
                  <c:v>0,1</c:v>
                </c:pt>
                <c:pt idx="3">
                  <c:v>0,766666667</c:v>
                </c:pt>
                <c:pt idx="4">
                  <c:v>1,266666667</c:v>
                </c:pt>
                <c:pt idx="5">
                  <c:v>2,1</c:v>
                </c:pt>
                <c:pt idx="6">
                  <c:v>2,6</c:v>
                </c:pt>
                <c:pt idx="7">
                  <c:v>3,016666667</c:v>
                </c:pt>
                <c:pt idx="8">
                  <c:v>3,1</c:v>
                </c:pt>
                <c:pt idx="9">
                  <c:v>3,35</c:v>
                </c:pt>
                <c:pt idx="10">
                  <c:v>3,6</c:v>
                </c:pt>
                <c:pt idx="11">
                  <c:v>3,766666667</c:v>
                </c:pt>
                <c:pt idx="12">
                  <c:v>4,266666667</c:v>
                </c:pt>
                <c:pt idx="13">
                  <c:v>4,933333333</c:v>
                </c:pt>
                <c:pt idx="14">
                  <c:v>5,6</c:v>
                </c:pt>
                <c:pt idx="15">
                  <c:v>6,266666667</c:v>
                </c:pt>
                <c:pt idx="16">
                  <c:v>7,1</c:v>
                </c:pt>
                <c:pt idx="17">
                  <c:v>7,933333333</c:v>
                </c:pt>
                <c:pt idx="18">
                  <c:v>8,85</c:v>
                </c:pt>
                <c:pt idx="19">
                  <c:v>9,6</c:v>
                </c:pt>
                <c:pt idx="20">
                  <c:v>10,51666667</c:v>
                </c:pt>
                <c:pt idx="21">
                  <c:v>11,43333333</c:v>
                </c:pt>
                <c:pt idx="22">
                  <c:v>12,26666667</c:v>
                </c:pt>
                <c:pt idx="23">
                  <c:v>13,01666667</c:v>
                </c:pt>
                <c:pt idx="24">
                  <c:v>13,76666667</c:v>
                </c:pt>
                <c:pt idx="25">
                  <c:v>14,6</c:v>
                </c:pt>
                <c:pt idx="26">
                  <c:v>14,76666667</c:v>
                </c:pt>
                <c:pt idx="27">
                  <c:v>15,18333333</c:v>
                </c:pt>
                <c:pt idx="28">
                  <c:v>15,6</c:v>
                </c:pt>
                <c:pt idx="29">
                  <c:v>16,51666667</c:v>
                </c:pt>
                <c:pt idx="30">
                  <c:v>17,43333333</c:v>
                </c:pt>
                <c:pt idx="31">
                  <c:v>18,1</c:v>
                </c:pt>
                <c:pt idx="32">
                  <c:v>18,93333333</c:v>
                </c:pt>
              </c:strCache>
            </c:strRef>
          </c:cat>
          <c:val>
            <c:numRef>
              <c:f>Arkusz1!$H$2:$H$33</c:f>
              <c:numCache>
                <c:formatCode>General</c:formatCode>
                <c:ptCount val="32"/>
                <c:pt idx="0">
                  <c:v>0.98613251155624027</c:v>
                </c:pt>
                <c:pt idx="1">
                  <c:v>0.97535395909805966</c:v>
                </c:pt>
                <c:pt idx="2">
                  <c:v>0.97455332972387643</c:v>
                </c:pt>
                <c:pt idx="3">
                  <c:v>0.97643097643097632</c:v>
                </c:pt>
                <c:pt idx="4">
                  <c:v>0.97560975609756084</c:v>
                </c:pt>
                <c:pt idx="5">
                  <c:v>0.96313912009512459</c:v>
                </c:pt>
                <c:pt idx="6">
                  <c:v>0.95881991395205879</c:v>
                </c:pt>
                <c:pt idx="7">
                  <c:v>0.96030729833546724</c:v>
                </c:pt>
                <c:pt idx="8">
                  <c:v>0.95872170439414084</c:v>
                </c:pt>
                <c:pt idx="9">
                  <c:v>0.95700416088765572</c:v>
                </c:pt>
                <c:pt idx="10">
                  <c:v>0.96209912536443132</c:v>
                </c:pt>
                <c:pt idx="11">
                  <c:v>0.96403978576893645</c:v>
                </c:pt>
                <c:pt idx="12">
                  <c:v>0.97008892481810838</c:v>
                </c:pt>
                <c:pt idx="13">
                  <c:v>0.97269624573378832</c:v>
                </c:pt>
                <c:pt idx="14">
                  <c:v>0.98450319051959878</c:v>
                </c:pt>
                <c:pt idx="15">
                  <c:v>0.98360655737704927</c:v>
                </c:pt>
                <c:pt idx="16">
                  <c:v>0.97264437689969629</c:v>
                </c:pt>
                <c:pt idx="17">
                  <c:v>0.97613882863340584</c:v>
                </c:pt>
                <c:pt idx="18">
                  <c:v>0.98016336056009346</c:v>
                </c:pt>
                <c:pt idx="19">
                  <c:v>0.98484848484848486</c:v>
                </c:pt>
                <c:pt idx="20">
                  <c:v>1.0041841004184102</c:v>
                </c:pt>
                <c:pt idx="21">
                  <c:v>1.0200927357032457</c:v>
                </c:pt>
                <c:pt idx="22">
                  <c:v>1.0221465076660989</c:v>
                </c:pt>
                <c:pt idx="23">
                  <c:v>1.0344827586206897</c:v>
                </c:pt>
                <c:pt idx="24">
                  <c:v>1.0434782608695652</c:v>
                </c:pt>
                <c:pt idx="25">
                  <c:v>1.05</c:v>
                </c:pt>
                <c:pt idx="26">
                  <c:v>1</c:v>
                </c:pt>
                <c:pt idx="27">
                  <c:v>0.98360655737704927</c:v>
                </c:pt>
                <c:pt idx="28">
                  <c:v>1.0434782608695652</c:v>
                </c:pt>
                <c:pt idx="29">
                  <c:v>1.0588235294117647</c:v>
                </c:pt>
                <c:pt idx="30">
                  <c:v>0.92307692307692291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94-4788-9603-83DEAB6BD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140144"/>
        <c:axId val="1580142064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Arkusz1!$M$1</c15:sqref>
                        </c15:formulaRef>
                      </c:ext>
                    </c:extLst>
                    <c:strCache>
                      <c:ptCount val="1"/>
                      <c:pt idx="0">
                        <c:v>czas od pocztku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Arkusz1!$M$1:$M$33</c15:sqref>
                        </c15:formulaRef>
                      </c:ext>
                    </c:extLst>
                    <c:strCache>
                      <c:ptCount val="33"/>
                      <c:pt idx="0">
                        <c:v>czas od pocztku</c:v>
                      </c:pt>
                      <c:pt idx="1">
                        <c:v>0</c:v>
                      </c:pt>
                      <c:pt idx="2">
                        <c:v>0,1</c:v>
                      </c:pt>
                      <c:pt idx="3">
                        <c:v>0,766666667</c:v>
                      </c:pt>
                      <c:pt idx="4">
                        <c:v>1,266666667</c:v>
                      </c:pt>
                      <c:pt idx="5">
                        <c:v>2,1</c:v>
                      </c:pt>
                      <c:pt idx="6">
                        <c:v>2,6</c:v>
                      </c:pt>
                      <c:pt idx="7">
                        <c:v>3,016666667</c:v>
                      </c:pt>
                      <c:pt idx="8">
                        <c:v>3,1</c:v>
                      </c:pt>
                      <c:pt idx="9">
                        <c:v>3,35</c:v>
                      </c:pt>
                      <c:pt idx="10">
                        <c:v>3,6</c:v>
                      </c:pt>
                      <c:pt idx="11">
                        <c:v>3,766666667</c:v>
                      </c:pt>
                      <c:pt idx="12">
                        <c:v>4,266666667</c:v>
                      </c:pt>
                      <c:pt idx="13">
                        <c:v>4,933333333</c:v>
                      </c:pt>
                      <c:pt idx="14">
                        <c:v>5,6</c:v>
                      </c:pt>
                      <c:pt idx="15">
                        <c:v>6,266666667</c:v>
                      </c:pt>
                      <c:pt idx="16">
                        <c:v>7,1</c:v>
                      </c:pt>
                      <c:pt idx="17">
                        <c:v>7,933333333</c:v>
                      </c:pt>
                      <c:pt idx="18">
                        <c:v>8,85</c:v>
                      </c:pt>
                      <c:pt idx="19">
                        <c:v>9,6</c:v>
                      </c:pt>
                      <c:pt idx="20">
                        <c:v>10,51666667</c:v>
                      </c:pt>
                      <c:pt idx="21">
                        <c:v>11,43333333</c:v>
                      </c:pt>
                      <c:pt idx="22">
                        <c:v>12,26666667</c:v>
                      </c:pt>
                      <c:pt idx="23">
                        <c:v>13,01666667</c:v>
                      </c:pt>
                      <c:pt idx="24">
                        <c:v>13,76666667</c:v>
                      </c:pt>
                      <c:pt idx="25">
                        <c:v>14,6</c:v>
                      </c:pt>
                      <c:pt idx="26">
                        <c:v>14,76666667</c:v>
                      </c:pt>
                      <c:pt idx="27">
                        <c:v>15,18333333</c:v>
                      </c:pt>
                      <c:pt idx="28">
                        <c:v>15,6</c:v>
                      </c:pt>
                      <c:pt idx="29">
                        <c:v>16,51666667</c:v>
                      </c:pt>
                      <c:pt idx="30">
                        <c:v>17,43333333</c:v>
                      </c:pt>
                      <c:pt idx="31">
                        <c:v>18,1</c:v>
                      </c:pt>
                      <c:pt idx="32">
                        <c:v>18,93333333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Arkusz1!$M$2:$M$33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0</c:v>
                      </c:pt>
                      <c:pt idx="1">
                        <c:v>0.1</c:v>
                      </c:pt>
                      <c:pt idx="2">
                        <c:v>0.76666666666666661</c:v>
                      </c:pt>
                      <c:pt idx="3">
                        <c:v>1.2666666666666666</c:v>
                      </c:pt>
                      <c:pt idx="4">
                        <c:v>2.1</c:v>
                      </c:pt>
                      <c:pt idx="5">
                        <c:v>2.6</c:v>
                      </c:pt>
                      <c:pt idx="6">
                        <c:v>3.0166666666666666</c:v>
                      </c:pt>
                      <c:pt idx="7">
                        <c:v>3.1</c:v>
                      </c:pt>
                      <c:pt idx="8">
                        <c:v>3.35</c:v>
                      </c:pt>
                      <c:pt idx="9">
                        <c:v>3.6</c:v>
                      </c:pt>
                      <c:pt idx="10">
                        <c:v>3.7666666666666666</c:v>
                      </c:pt>
                      <c:pt idx="11">
                        <c:v>4.2666666666666666</c:v>
                      </c:pt>
                      <c:pt idx="12">
                        <c:v>4.9333333333333336</c:v>
                      </c:pt>
                      <c:pt idx="13">
                        <c:v>5.6000000000000005</c:v>
                      </c:pt>
                      <c:pt idx="14">
                        <c:v>6.2666666666666675</c:v>
                      </c:pt>
                      <c:pt idx="15">
                        <c:v>7.1000000000000005</c:v>
                      </c:pt>
                      <c:pt idx="16">
                        <c:v>7.9333333333333336</c:v>
                      </c:pt>
                      <c:pt idx="17">
                        <c:v>8.85</c:v>
                      </c:pt>
                      <c:pt idx="18">
                        <c:v>9.6</c:v>
                      </c:pt>
                      <c:pt idx="19">
                        <c:v>10.516666666666666</c:v>
                      </c:pt>
                      <c:pt idx="20">
                        <c:v>11.433333333333332</c:v>
                      </c:pt>
                      <c:pt idx="21">
                        <c:v>12.266666666666666</c:v>
                      </c:pt>
                      <c:pt idx="22">
                        <c:v>13.016666666666666</c:v>
                      </c:pt>
                      <c:pt idx="23">
                        <c:v>13.766666666666666</c:v>
                      </c:pt>
                      <c:pt idx="24">
                        <c:v>14.6</c:v>
                      </c:pt>
                      <c:pt idx="25">
                        <c:v>14.766666666666666</c:v>
                      </c:pt>
                      <c:pt idx="26">
                        <c:v>15.183333333333332</c:v>
                      </c:pt>
                      <c:pt idx="27">
                        <c:v>15.599999999999998</c:v>
                      </c:pt>
                      <c:pt idx="28">
                        <c:v>16.516666666666666</c:v>
                      </c:pt>
                      <c:pt idx="29">
                        <c:v>17.433333333333334</c:v>
                      </c:pt>
                      <c:pt idx="30">
                        <c:v>18.100000000000001</c:v>
                      </c:pt>
                      <c:pt idx="31">
                        <c:v>18.933333333333334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4694-4788-9603-83DEAB6BDAE0}"/>
                  </c:ext>
                </c:extLst>
              </c15:ser>
            </c15:filteredLineSeries>
          </c:ext>
        </c:extLst>
      </c:lineChart>
      <c:catAx>
        <c:axId val="1580140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80142064"/>
        <c:crosses val="autoZero"/>
        <c:auto val="1"/>
        <c:lblAlgn val="ctr"/>
        <c:lblOffset val="100"/>
        <c:noMultiLvlLbl val="0"/>
      </c:catAx>
      <c:valAx>
        <c:axId val="158014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80140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zmiana itesywności ruchu </a:t>
            </a:r>
            <a:r>
              <a:rPr lang="el-GR"/>
              <a:t>ρ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Arkusz1!$I$1</c:f>
              <c:strCache>
                <c:ptCount val="1"/>
                <c:pt idx="0">
                  <c:v>ρ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Arkusz1!$M$1:$M$33</c:f>
              <c:strCache>
                <c:ptCount val="33"/>
                <c:pt idx="0">
                  <c:v>czas od pocztku</c:v>
                </c:pt>
                <c:pt idx="1">
                  <c:v>0</c:v>
                </c:pt>
                <c:pt idx="2">
                  <c:v>0,1</c:v>
                </c:pt>
                <c:pt idx="3">
                  <c:v>0,766666667</c:v>
                </c:pt>
                <c:pt idx="4">
                  <c:v>1,266666667</c:v>
                </c:pt>
                <c:pt idx="5">
                  <c:v>2,1</c:v>
                </c:pt>
                <c:pt idx="6">
                  <c:v>2,6</c:v>
                </c:pt>
                <c:pt idx="7">
                  <c:v>3,016666667</c:v>
                </c:pt>
                <c:pt idx="8">
                  <c:v>3,1</c:v>
                </c:pt>
                <c:pt idx="9">
                  <c:v>3,35</c:v>
                </c:pt>
                <c:pt idx="10">
                  <c:v>3,6</c:v>
                </c:pt>
                <c:pt idx="11">
                  <c:v>3,766666667</c:v>
                </c:pt>
                <c:pt idx="12">
                  <c:v>4,266666667</c:v>
                </c:pt>
                <c:pt idx="13">
                  <c:v>4,933333333</c:v>
                </c:pt>
                <c:pt idx="14">
                  <c:v>5,6</c:v>
                </c:pt>
                <c:pt idx="15">
                  <c:v>6,266666667</c:v>
                </c:pt>
                <c:pt idx="16">
                  <c:v>7,1</c:v>
                </c:pt>
                <c:pt idx="17">
                  <c:v>7,933333333</c:v>
                </c:pt>
                <c:pt idx="18">
                  <c:v>8,85</c:v>
                </c:pt>
                <c:pt idx="19">
                  <c:v>9,6</c:v>
                </c:pt>
                <c:pt idx="20">
                  <c:v>10,51666667</c:v>
                </c:pt>
                <c:pt idx="21">
                  <c:v>11,43333333</c:v>
                </c:pt>
                <c:pt idx="22">
                  <c:v>12,26666667</c:v>
                </c:pt>
                <c:pt idx="23">
                  <c:v>13,01666667</c:v>
                </c:pt>
                <c:pt idx="24">
                  <c:v>13,76666667</c:v>
                </c:pt>
                <c:pt idx="25">
                  <c:v>14,6</c:v>
                </c:pt>
                <c:pt idx="26">
                  <c:v>14,76666667</c:v>
                </c:pt>
                <c:pt idx="27">
                  <c:v>15,18333333</c:v>
                </c:pt>
                <c:pt idx="28">
                  <c:v>15,6</c:v>
                </c:pt>
                <c:pt idx="29">
                  <c:v>16,51666667</c:v>
                </c:pt>
                <c:pt idx="30">
                  <c:v>17,43333333</c:v>
                </c:pt>
                <c:pt idx="31">
                  <c:v>18,1</c:v>
                </c:pt>
                <c:pt idx="32">
                  <c:v>18,93333333</c:v>
                </c:pt>
              </c:strCache>
            </c:strRef>
          </c:cat>
          <c:val>
            <c:numRef>
              <c:f>Arkusz1!$I$2:$I$33</c:f>
              <c:numCache>
                <c:formatCode>General</c:formatCode>
                <c:ptCount val="32"/>
                <c:pt idx="0">
                  <c:v>0.34278169014084509</c:v>
                </c:pt>
                <c:pt idx="1">
                  <c:v>0.33573943661971839</c:v>
                </c:pt>
                <c:pt idx="2">
                  <c:v>0.32690265486725667</c:v>
                </c:pt>
                <c:pt idx="3">
                  <c:v>0.32697247706422028</c:v>
                </c:pt>
                <c:pt idx="4">
                  <c:v>0.32490566037735863</c:v>
                </c:pt>
                <c:pt idx="5">
                  <c:v>0.33306930693069325</c:v>
                </c:pt>
                <c:pt idx="6">
                  <c:v>0.33204081632653065</c:v>
                </c:pt>
                <c:pt idx="7">
                  <c:v>0.32712041884816762</c:v>
                </c:pt>
                <c:pt idx="8">
                  <c:v>0.31621052631578961</c:v>
                </c:pt>
                <c:pt idx="9">
                  <c:v>0.3084491978609627</c:v>
                </c:pt>
                <c:pt idx="10">
                  <c:v>0.29826086956521747</c:v>
                </c:pt>
                <c:pt idx="11">
                  <c:v>0.2872527472527473</c:v>
                </c:pt>
                <c:pt idx="12">
                  <c:v>0.28113636363636363</c:v>
                </c:pt>
                <c:pt idx="13">
                  <c:v>0.2790476190476191</c:v>
                </c:pt>
                <c:pt idx="14">
                  <c:v>0.27425000000000005</c:v>
                </c:pt>
                <c:pt idx="15">
                  <c:v>0.2728947368421053</c:v>
                </c:pt>
                <c:pt idx="16">
                  <c:v>0.2780281690140845</c:v>
                </c:pt>
                <c:pt idx="17">
                  <c:v>0.27939393939393936</c:v>
                </c:pt>
                <c:pt idx="18">
                  <c:v>0.28330578512396692</c:v>
                </c:pt>
                <c:pt idx="19">
                  <c:v>0.28285714285714286</c:v>
                </c:pt>
                <c:pt idx="20">
                  <c:v>0.28396039603960394</c:v>
                </c:pt>
                <c:pt idx="21">
                  <c:v>0.28755555555555556</c:v>
                </c:pt>
                <c:pt idx="22">
                  <c:v>0.29349999999999993</c:v>
                </c:pt>
                <c:pt idx="23">
                  <c:v>0.29408450704225353</c:v>
                </c:pt>
                <c:pt idx="24">
                  <c:v>0.29677419354838713</c:v>
                </c:pt>
                <c:pt idx="25">
                  <c:v>0.30769230769230776</c:v>
                </c:pt>
                <c:pt idx="26">
                  <c:v>0.28800000000000009</c:v>
                </c:pt>
                <c:pt idx="27">
                  <c:v>0.27111111111111108</c:v>
                </c:pt>
                <c:pt idx="28">
                  <c:v>0.22999999999999998</c:v>
                </c:pt>
                <c:pt idx="29">
                  <c:v>0.23448275862068968</c:v>
                </c:pt>
                <c:pt idx="30">
                  <c:v>0.28888888888888892</c:v>
                </c:pt>
                <c:pt idx="31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BA-4B07-BC27-41C5CBE33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6027312"/>
        <c:axId val="1506025392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Arkusz1!$M$1</c15:sqref>
                        </c15:formulaRef>
                      </c:ext>
                    </c:extLst>
                    <c:strCache>
                      <c:ptCount val="1"/>
                      <c:pt idx="0">
                        <c:v>czas od pocztku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Arkusz1!$M$1:$M$33</c15:sqref>
                        </c15:formulaRef>
                      </c:ext>
                    </c:extLst>
                    <c:strCache>
                      <c:ptCount val="33"/>
                      <c:pt idx="0">
                        <c:v>czas od pocztku</c:v>
                      </c:pt>
                      <c:pt idx="1">
                        <c:v>0</c:v>
                      </c:pt>
                      <c:pt idx="2">
                        <c:v>0,1</c:v>
                      </c:pt>
                      <c:pt idx="3">
                        <c:v>0,766666667</c:v>
                      </c:pt>
                      <c:pt idx="4">
                        <c:v>1,266666667</c:v>
                      </c:pt>
                      <c:pt idx="5">
                        <c:v>2,1</c:v>
                      </c:pt>
                      <c:pt idx="6">
                        <c:v>2,6</c:v>
                      </c:pt>
                      <c:pt idx="7">
                        <c:v>3,016666667</c:v>
                      </c:pt>
                      <c:pt idx="8">
                        <c:v>3,1</c:v>
                      </c:pt>
                      <c:pt idx="9">
                        <c:v>3,35</c:v>
                      </c:pt>
                      <c:pt idx="10">
                        <c:v>3,6</c:v>
                      </c:pt>
                      <c:pt idx="11">
                        <c:v>3,766666667</c:v>
                      </c:pt>
                      <c:pt idx="12">
                        <c:v>4,266666667</c:v>
                      </c:pt>
                      <c:pt idx="13">
                        <c:v>4,933333333</c:v>
                      </c:pt>
                      <c:pt idx="14">
                        <c:v>5,6</c:v>
                      </c:pt>
                      <c:pt idx="15">
                        <c:v>6,266666667</c:v>
                      </c:pt>
                      <c:pt idx="16">
                        <c:v>7,1</c:v>
                      </c:pt>
                      <c:pt idx="17">
                        <c:v>7,933333333</c:v>
                      </c:pt>
                      <c:pt idx="18">
                        <c:v>8,85</c:v>
                      </c:pt>
                      <c:pt idx="19">
                        <c:v>9,6</c:v>
                      </c:pt>
                      <c:pt idx="20">
                        <c:v>10,51666667</c:v>
                      </c:pt>
                      <c:pt idx="21">
                        <c:v>11,43333333</c:v>
                      </c:pt>
                      <c:pt idx="22">
                        <c:v>12,26666667</c:v>
                      </c:pt>
                      <c:pt idx="23">
                        <c:v>13,01666667</c:v>
                      </c:pt>
                      <c:pt idx="24">
                        <c:v>13,76666667</c:v>
                      </c:pt>
                      <c:pt idx="25">
                        <c:v>14,6</c:v>
                      </c:pt>
                      <c:pt idx="26">
                        <c:v>14,76666667</c:v>
                      </c:pt>
                      <c:pt idx="27">
                        <c:v>15,18333333</c:v>
                      </c:pt>
                      <c:pt idx="28">
                        <c:v>15,6</c:v>
                      </c:pt>
                      <c:pt idx="29">
                        <c:v>16,51666667</c:v>
                      </c:pt>
                      <c:pt idx="30">
                        <c:v>17,43333333</c:v>
                      </c:pt>
                      <c:pt idx="31">
                        <c:v>18,1</c:v>
                      </c:pt>
                      <c:pt idx="32">
                        <c:v>18,93333333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Arkusz1!$M$2:$M$33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0</c:v>
                      </c:pt>
                      <c:pt idx="1">
                        <c:v>0.1</c:v>
                      </c:pt>
                      <c:pt idx="2">
                        <c:v>0.76666666666666661</c:v>
                      </c:pt>
                      <c:pt idx="3">
                        <c:v>1.2666666666666666</c:v>
                      </c:pt>
                      <c:pt idx="4">
                        <c:v>2.1</c:v>
                      </c:pt>
                      <c:pt idx="5">
                        <c:v>2.6</c:v>
                      </c:pt>
                      <c:pt idx="6">
                        <c:v>3.0166666666666666</c:v>
                      </c:pt>
                      <c:pt idx="7">
                        <c:v>3.1</c:v>
                      </c:pt>
                      <c:pt idx="8">
                        <c:v>3.35</c:v>
                      </c:pt>
                      <c:pt idx="9">
                        <c:v>3.6</c:v>
                      </c:pt>
                      <c:pt idx="10">
                        <c:v>3.7666666666666666</c:v>
                      </c:pt>
                      <c:pt idx="11">
                        <c:v>4.2666666666666666</c:v>
                      </c:pt>
                      <c:pt idx="12">
                        <c:v>4.9333333333333336</c:v>
                      </c:pt>
                      <c:pt idx="13">
                        <c:v>5.6000000000000005</c:v>
                      </c:pt>
                      <c:pt idx="14">
                        <c:v>6.2666666666666675</c:v>
                      </c:pt>
                      <c:pt idx="15">
                        <c:v>7.1000000000000005</c:v>
                      </c:pt>
                      <c:pt idx="16">
                        <c:v>7.9333333333333336</c:v>
                      </c:pt>
                      <c:pt idx="17">
                        <c:v>8.85</c:v>
                      </c:pt>
                      <c:pt idx="18">
                        <c:v>9.6</c:v>
                      </c:pt>
                      <c:pt idx="19">
                        <c:v>10.516666666666666</c:v>
                      </c:pt>
                      <c:pt idx="20">
                        <c:v>11.433333333333332</c:v>
                      </c:pt>
                      <c:pt idx="21">
                        <c:v>12.266666666666666</c:v>
                      </c:pt>
                      <c:pt idx="22">
                        <c:v>13.016666666666666</c:v>
                      </c:pt>
                      <c:pt idx="23">
                        <c:v>13.766666666666666</c:v>
                      </c:pt>
                      <c:pt idx="24">
                        <c:v>14.6</c:v>
                      </c:pt>
                      <c:pt idx="25">
                        <c:v>14.766666666666666</c:v>
                      </c:pt>
                      <c:pt idx="26">
                        <c:v>15.183333333333332</c:v>
                      </c:pt>
                      <c:pt idx="27">
                        <c:v>15.599999999999998</c:v>
                      </c:pt>
                      <c:pt idx="28">
                        <c:v>16.516666666666666</c:v>
                      </c:pt>
                      <c:pt idx="29">
                        <c:v>17.433333333333334</c:v>
                      </c:pt>
                      <c:pt idx="30">
                        <c:v>18.100000000000001</c:v>
                      </c:pt>
                      <c:pt idx="31">
                        <c:v>18.933333333333334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0BBA-4B07-BC27-41C5CBE33DD2}"/>
                  </c:ext>
                </c:extLst>
              </c15:ser>
            </c15:filteredLineSeries>
          </c:ext>
        </c:extLst>
      </c:lineChart>
      <c:catAx>
        <c:axId val="150602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6025392"/>
        <c:crosses val="autoZero"/>
        <c:auto val="1"/>
        <c:lblAlgn val="ctr"/>
        <c:lblOffset val="100"/>
        <c:noMultiLvlLbl val="0"/>
      </c:catAx>
      <c:valAx>
        <c:axId val="150602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602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Zmiana</a:t>
            </a:r>
            <a:r>
              <a:rPr lang="pl-PL" baseline="0"/>
              <a:t> Q i W w czasie</a:t>
            </a:r>
          </a:p>
          <a:p>
            <a:pPr>
              <a:defRPr/>
            </a:pP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Arkusz1!$K$1</c:f>
              <c:strCache>
                <c:ptCount val="1"/>
                <c:pt idx="0">
                  <c:v>Q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Arkusz1!$M$1:$M$33</c:f>
              <c:strCache>
                <c:ptCount val="33"/>
                <c:pt idx="0">
                  <c:v>czas od pocztku</c:v>
                </c:pt>
                <c:pt idx="1">
                  <c:v>0</c:v>
                </c:pt>
                <c:pt idx="2">
                  <c:v>0,1</c:v>
                </c:pt>
                <c:pt idx="3">
                  <c:v>0,766666667</c:v>
                </c:pt>
                <c:pt idx="4">
                  <c:v>1,266666667</c:v>
                </c:pt>
                <c:pt idx="5">
                  <c:v>2,1</c:v>
                </c:pt>
                <c:pt idx="6">
                  <c:v>2,6</c:v>
                </c:pt>
                <c:pt idx="7">
                  <c:v>3,016666667</c:v>
                </c:pt>
                <c:pt idx="8">
                  <c:v>3,1</c:v>
                </c:pt>
                <c:pt idx="9">
                  <c:v>3,35</c:v>
                </c:pt>
                <c:pt idx="10">
                  <c:v>3,6</c:v>
                </c:pt>
                <c:pt idx="11">
                  <c:v>3,766666667</c:v>
                </c:pt>
                <c:pt idx="12">
                  <c:v>4,266666667</c:v>
                </c:pt>
                <c:pt idx="13">
                  <c:v>4,933333333</c:v>
                </c:pt>
                <c:pt idx="14">
                  <c:v>5,6</c:v>
                </c:pt>
                <c:pt idx="15">
                  <c:v>6,266666667</c:v>
                </c:pt>
                <c:pt idx="16">
                  <c:v>7,1</c:v>
                </c:pt>
                <c:pt idx="17">
                  <c:v>7,933333333</c:v>
                </c:pt>
                <c:pt idx="18">
                  <c:v>8,85</c:v>
                </c:pt>
                <c:pt idx="19">
                  <c:v>9,6</c:v>
                </c:pt>
                <c:pt idx="20">
                  <c:v>10,51666667</c:v>
                </c:pt>
                <c:pt idx="21">
                  <c:v>11,43333333</c:v>
                </c:pt>
                <c:pt idx="22">
                  <c:v>12,26666667</c:v>
                </c:pt>
                <c:pt idx="23">
                  <c:v>13,01666667</c:v>
                </c:pt>
                <c:pt idx="24">
                  <c:v>13,76666667</c:v>
                </c:pt>
                <c:pt idx="25">
                  <c:v>14,6</c:v>
                </c:pt>
                <c:pt idx="26">
                  <c:v>14,76666667</c:v>
                </c:pt>
                <c:pt idx="27">
                  <c:v>15,18333333</c:v>
                </c:pt>
                <c:pt idx="28">
                  <c:v>15,6</c:v>
                </c:pt>
                <c:pt idx="29">
                  <c:v>16,51666667</c:v>
                </c:pt>
                <c:pt idx="30">
                  <c:v>17,43333333</c:v>
                </c:pt>
                <c:pt idx="31">
                  <c:v>18,1</c:v>
                </c:pt>
                <c:pt idx="32">
                  <c:v>18,93333333</c:v>
                </c:pt>
              </c:strCache>
            </c:strRef>
          </c:cat>
          <c:val>
            <c:numRef>
              <c:f>Arkusz1!$K$2:$K$33</c:f>
              <c:numCache>
                <c:formatCode>General</c:formatCode>
                <c:ptCount val="32"/>
                <c:pt idx="0">
                  <c:v>3.3708802316933871E-2</c:v>
                </c:pt>
                <c:pt idx="1">
                  <c:v>2.9701648700630714E-2</c:v>
                </c:pt>
                <c:pt idx="2">
                  <c:v>2.5243099978804168E-2</c:v>
                </c:pt>
                <c:pt idx="3">
                  <c:v>2.5275996089871456E-2</c:v>
                </c:pt>
                <c:pt idx="4">
                  <c:v>2.4317276895043382E-2</c:v>
                </c:pt>
                <c:pt idx="5">
                  <c:v>2.829015512550891E-2</c:v>
                </c:pt>
                <c:pt idx="6">
                  <c:v>2.7761630712915417E-2</c:v>
                </c:pt>
                <c:pt idx="7">
                  <c:v>2.5345816043819146E-2</c:v>
                </c:pt>
                <c:pt idx="8">
                  <c:v>2.061030736932851E-2</c:v>
                </c:pt>
                <c:pt idx="9">
                  <c:v>1.7713541646314807E-2</c:v>
                </c:pt>
                <c:pt idx="10">
                  <c:v>1.4436464159429592E-2</c:v>
                </c:pt>
                <c:pt idx="11">
                  <c:v>1.1484269571362945E-2</c:v>
                </c:pt>
                <c:pt idx="12">
                  <c:v>1.0076352551281344E-2</c:v>
                </c:pt>
                <c:pt idx="13">
                  <c:v>9.6301842805081098E-3</c:v>
                </c:pt>
                <c:pt idx="14">
                  <c:v>8.6680056984970305E-3</c:v>
                </c:pt>
                <c:pt idx="15">
                  <c:v>8.4113712669122813E-3</c:v>
                </c:pt>
                <c:pt idx="16">
                  <c:v>9.4185422566514694E-3</c:v>
                </c:pt>
                <c:pt idx="17">
                  <c:v>9.7029872835833839E-3</c:v>
                </c:pt>
                <c:pt idx="18">
                  <c:v>1.0558061972296398E-2</c:v>
                </c:pt>
                <c:pt idx="19">
                  <c:v>1.0456884373208379E-2</c:v>
                </c:pt>
                <c:pt idx="20">
                  <c:v>1.0707167930353624E-2</c:v>
                </c:pt>
                <c:pt idx="21">
                  <c:v>1.1558066047950743E-2</c:v>
                </c:pt>
                <c:pt idx="22">
                  <c:v>1.3089753702027992E-2</c:v>
                </c:pt>
                <c:pt idx="23">
                  <c:v>1.3249170119096824E-2</c:v>
                </c:pt>
                <c:pt idx="24">
                  <c:v>1.4003967146226823E-2</c:v>
                </c:pt>
                <c:pt idx="25">
                  <c:v>1.7450348169892028E-2</c:v>
                </c:pt>
                <c:pt idx="26">
                  <c:v>1.1667103033796471E-2</c:v>
                </c:pt>
                <c:pt idx="27">
                  <c:v>8.083404678584873E-3</c:v>
                </c:pt>
                <c:pt idx="28">
                  <c:v>2.9939250547704245E-3</c:v>
                </c:pt>
                <c:pt idx="29">
                  <c:v>3.3626960846999394E-3</c:v>
                </c:pt>
                <c:pt idx="30">
                  <c:v>1.1887776700860168E-2</c:v>
                </c:pt>
                <c:pt idx="31">
                  <c:v>3.8684180677410942E-3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AC-496E-847D-CA63F5DCE4CC}"/>
            </c:ext>
          </c:extLst>
        </c:ser>
        <c:ser>
          <c:idx val="1"/>
          <c:order val="1"/>
          <c:tx>
            <c:strRef>
              <c:f>Arkusz1!$L$1</c:f>
              <c:strCache>
                <c:ptCount val="1"/>
                <c:pt idx="0">
                  <c:v>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Arkusz1!$M$1:$M$33</c:f>
              <c:strCache>
                <c:ptCount val="33"/>
                <c:pt idx="0">
                  <c:v>czas od pocztku</c:v>
                </c:pt>
                <c:pt idx="1">
                  <c:v>0</c:v>
                </c:pt>
                <c:pt idx="2">
                  <c:v>0,1</c:v>
                </c:pt>
                <c:pt idx="3">
                  <c:v>0,766666667</c:v>
                </c:pt>
                <c:pt idx="4">
                  <c:v>1,266666667</c:v>
                </c:pt>
                <c:pt idx="5">
                  <c:v>2,1</c:v>
                </c:pt>
                <c:pt idx="6">
                  <c:v>2,6</c:v>
                </c:pt>
                <c:pt idx="7">
                  <c:v>3,016666667</c:v>
                </c:pt>
                <c:pt idx="8">
                  <c:v>3,1</c:v>
                </c:pt>
                <c:pt idx="9">
                  <c:v>3,35</c:v>
                </c:pt>
                <c:pt idx="10">
                  <c:v>3,6</c:v>
                </c:pt>
                <c:pt idx="11">
                  <c:v>3,766666667</c:v>
                </c:pt>
                <c:pt idx="12">
                  <c:v>4,266666667</c:v>
                </c:pt>
                <c:pt idx="13">
                  <c:v>4,933333333</c:v>
                </c:pt>
                <c:pt idx="14">
                  <c:v>5,6</c:v>
                </c:pt>
                <c:pt idx="15">
                  <c:v>6,266666667</c:v>
                </c:pt>
                <c:pt idx="16">
                  <c:v>7,1</c:v>
                </c:pt>
                <c:pt idx="17">
                  <c:v>7,933333333</c:v>
                </c:pt>
                <c:pt idx="18">
                  <c:v>8,85</c:v>
                </c:pt>
                <c:pt idx="19">
                  <c:v>9,6</c:v>
                </c:pt>
                <c:pt idx="20">
                  <c:v>10,51666667</c:v>
                </c:pt>
                <c:pt idx="21">
                  <c:v>11,43333333</c:v>
                </c:pt>
                <c:pt idx="22">
                  <c:v>12,26666667</c:v>
                </c:pt>
                <c:pt idx="23">
                  <c:v>13,01666667</c:v>
                </c:pt>
                <c:pt idx="24">
                  <c:v>13,76666667</c:v>
                </c:pt>
                <c:pt idx="25">
                  <c:v>14,6</c:v>
                </c:pt>
                <c:pt idx="26">
                  <c:v>14,76666667</c:v>
                </c:pt>
                <c:pt idx="27">
                  <c:v>15,18333333</c:v>
                </c:pt>
                <c:pt idx="28">
                  <c:v>15,6</c:v>
                </c:pt>
                <c:pt idx="29">
                  <c:v>16,51666667</c:v>
                </c:pt>
                <c:pt idx="30">
                  <c:v>17,43333333</c:v>
                </c:pt>
                <c:pt idx="31">
                  <c:v>18,1</c:v>
                </c:pt>
                <c:pt idx="32">
                  <c:v>18,93333333</c:v>
                </c:pt>
              </c:strCache>
            </c:strRef>
          </c:cat>
          <c:val>
            <c:numRef>
              <c:f>Arkusz1!$L$2:$L$33</c:f>
              <c:numCache>
                <c:formatCode>General</c:formatCode>
                <c:ptCount val="32"/>
                <c:pt idx="0">
                  <c:v>1.9944374704185874E-2</c:v>
                </c:pt>
                <c:pt idx="1">
                  <c:v>1.8140361787051876E-2</c:v>
                </c:pt>
                <c:pt idx="2">
                  <c:v>1.5847057208915948E-2</c:v>
                </c:pt>
                <c:pt idx="3">
                  <c:v>1.5833813642505679E-2</c:v>
                </c:pt>
                <c:pt idx="4">
                  <c:v>1.534304375520594E-2</c:v>
                </c:pt>
                <c:pt idx="5">
                  <c:v>1.7637689306644437E-2</c:v>
                </c:pt>
                <c:pt idx="6">
                  <c:v>1.7439998781190454E-2</c:v>
                </c:pt>
                <c:pt idx="7">
                  <c:v>1.6136836214564857E-2</c:v>
                </c:pt>
                <c:pt idx="8">
                  <c:v>1.3597077778376447E-2</c:v>
                </c:pt>
                <c:pt idx="9">
                  <c:v>1.2001566260365465E-2</c:v>
                </c:pt>
                <c:pt idx="10">
                  <c:v>1.0061778050511533E-2</c:v>
                </c:pt>
                <c:pt idx="11">
                  <c:v>8.2941946904287918E-3</c:v>
                </c:pt>
                <c:pt idx="12">
                  <c:v>7.3893252042729844E-3</c:v>
                </c:pt>
                <c:pt idx="13">
                  <c:v>7.0959252593217632E-3</c:v>
                </c:pt>
                <c:pt idx="14">
                  <c:v>6.4207449618496519E-3</c:v>
                </c:pt>
                <c:pt idx="15">
                  <c:v>6.2672962380915026E-3</c:v>
                </c:pt>
                <c:pt idx="16">
                  <c:v>6.9657968773151474E-3</c:v>
                </c:pt>
                <c:pt idx="17">
                  <c:v>7.1155240079611472E-3</c:v>
                </c:pt>
                <c:pt idx="18">
                  <c:v>7.6043184443325244E-3</c:v>
                </c:pt>
                <c:pt idx="19">
                  <c:v>7.5075067294829391E-3</c:v>
                </c:pt>
                <c:pt idx="20">
                  <c:v>7.5098886178174727E-3</c:v>
                </c:pt>
                <c:pt idx="21">
                  <c:v>7.880499578148235E-3</c:v>
                </c:pt>
                <c:pt idx="22">
                  <c:v>8.7265024680186626E-3</c:v>
                </c:pt>
                <c:pt idx="23">
                  <c:v>8.7101025782951348E-3</c:v>
                </c:pt>
                <c:pt idx="24">
                  <c:v>9.0442287819381562E-3</c:v>
                </c:pt>
                <c:pt idx="25">
                  <c:v>1.0802596486123636E-2</c:v>
                </c:pt>
                <c:pt idx="26">
                  <c:v>8.1021548845808811E-3</c:v>
                </c:pt>
                <c:pt idx="27">
                  <c:v>6.0625535089386551E-3</c:v>
                </c:pt>
                <c:pt idx="28">
                  <c:v>2.4949375456420203E-3</c:v>
                </c:pt>
                <c:pt idx="29">
                  <c:v>2.708838512674951E-3</c:v>
                </c:pt>
                <c:pt idx="30">
                  <c:v>8.9158325256451267E-3</c:v>
                </c:pt>
                <c:pt idx="31">
                  <c:v>3.2236817231175788E-3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AC-496E-847D-CA63F5DCE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7457936"/>
        <c:axId val="161745697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Arkusz1!$M$1</c15:sqref>
                        </c15:formulaRef>
                      </c:ext>
                    </c:extLst>
                    <c:strCache>
                      <c:ptCount val="1"/>
                      <c:pt idx="0">
                        <c:v>czas od pocztku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Arkusz1!$M$1:$M$33</c15:sqref>
                        </c15:formulaRef>
                      </c:ext>
                    </c:extLst>
                    <c:strCache>
                      <c:ptCount val="33"/>
                      <c:pt idx="0">
                        <c:v>czas od pocztku</c:v>
                      </c:pt>
                      <c:pt idx="1">
                        <c:v>0</c:v>
                      </c:pt>
                      <c:pt idx="2">
                        <c:v>0,1</c:v>
                      </c:pt>
                      <c:pt idx="3">
                        <c:v>0,766666667</c:v>
                      </c:pt>
                      <c:pt idx="4">
                        <c:v>1,266666667</c:v>
                      </c:pt>
                      <c:pt idx="5">
                        <c:v>2,1</c:v>
                      </c:pt>
                      <c:pt idx="6">
                        <c:v>2,6</c:v>
                      </c:pt>
                      <c:pt idx="7">
                        <c:v>3,016666667</c:v>
                      </c:pt>
                      <c:pt idx="8">
                        <c:v>3,1</c:v>
                      </c:pt>
                      <c:pt idx="9">
                        <c:v>3,35</c:v>
                      </c:pt>
                      <c:pt idx="10">
                        <c:v>3,6</c:v>
                      </c:pt>
                      <c:pt idx="11">
                        <c:v>3,766666667</c:v>
                      </c:pt>
                      <c:pt idx="12">
                        <c:v>4,266666667</c:v>
                      </c:pt>
                      <c:pt idx="13">
                        <c:v>4,933333333</c:v>
                      </c:pt>
                      <c:pt idx="14">
                        <c:v>5,6</c:v>
                      </c:pt>
                      <c:pt idx="15">
                        <c:v>6,266666667</c:v>
                      </c:pt>
                      <c:pt idx="16">
                        <c:v>7,1</c:v>
                      </c:pt>
                      <c:pt idx="17">
                        <c:v>7,933333333</c:v>
                      </c:pt>
                      <c:pt idx="18">
                        <c:v>8,85</c:v>
                      </c:pt>
                      <c:pt idx="19">
                        <c:v>9,6</c:v>
                      </c:pt>
                      <c:pt idx="20">
                        <c:v>10,51666667</c:v>
                      </c:pt>
                      <c:pt idx="21">
                        <c:v>11,43333333</c:v>
                      </c:pt>
                      <c:pt idx="22">
                        <c:v>12,26666667</c:v>
                      </c:pt>
                      <c:pt idx="23">
                        <c:v>13,01666667</c:v>
                      </c:pt>
                      <c:pt idx="24">
                        <c:v>13,76666667</c:v>
                      </c:pt>
                      <c:pt idx="25">
                        <c:v>14,6</c:v>
                      </c:pt>
                      <c:pt idx="26">
                        <c:v>14,76666667</c:v>
                      </c:pt>
                      <c:pt idx="27">
                        <c:v>15,18333333</c:v>
                      </c:pt>
                      <c:pt idx="28">
                        <c:v>15,6</c:v>
                      </c:pt>
                      <c:pt idx="29">
                        <c:v>16,51666667</c:v>
                      </c:pt>
                      <c:pt idx="30">
                        <c:v>17,43333333</c:v>
                      </c:pt>
                      <c:pt idx="31">
                        <c:v>18,1</c:v>
                      </c:pt>
                      <c:pt idx="32">
                        <c:v>18,93333333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Arkusz1!$M$2:$M$33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0</c:v>
                      </c:pt>
                      <c:pt idx="1">
                        <c:v>0.1</c:v>
                      </c:pt>
                      <c:pt idx="2">
                        <c:v>0.76666666666666661</c:v>
                      </c:pt>
                      <c:pt idx="3">
                        <c:v>1.2666666666666666</c:v>
                      </c:pt>
                      <c:pt idx="4">
                        <c:v>2.1</c:v>
                      </c:pt>
                      <c:pt idx="5">
                        <c:v>2.6</c:v>
                      </c:pt>
                      <c:pt idx="6">
                        <c:v>3.0166666666666666</c:v>
                      </c:pt>
                      <c:pt idx="7">
                        <c:v>3.1</c:v>
                      </c:pt>
                      <c:pt idx="8">
                        <c:v>3.35</c:v>
                      </c:pt>
                      <c:pt idx="9">
                        <c:v>3.6</c:v>
                      </c:pt>
                      <c:pt idx="10">
                        <c:v>3.7666666666666666</c:v>
                      </c:pt>
                      <c:pt idx="11">
                        <c:v>4.2666666666666666</c:v>
                      </c:pt>
                      <c:pt idx="12">
                        <c:v>4.9333333333333336</c:v>
                      </c:pt>
                      <c:pt idx="13">
                        <c:v>5.6000000000000005</c:v>
                      </c:pt>
                      <c:pt idx="14">
                        <c:v>6.2666666666666675</c:v>
                      </c:pt>
                      <c:pt idx="15">
                        <c:v>7.1000000000000005</c:v>
                      </c:pt>
                      <c:pt idx="16">
                        <c:v>7.9333333333333336</c:v>
                      </c:pt>
                      <c:pt idx="17">
                        <c:v>8.85</c:v>
                      </c:pt>
                      <c:pt idx="18">
                        <c:v>9.6</c:v>
                      </c:pt>
                      <c:pt idx="19">
                        <c:v>10.516666666666666</c:v>
                      </c:pt>
                      <c:pt idx="20">
                        <c:v>11.433333333333332</c:v>
                      </c:pt>
                      <c:pt idx="21">
                        <c:v>12.266666666666666</c:v>
                      </c:pt>
                      <c:pt idx="22">
                        <c:v>13.016666666666666</c:v>
                      </c:pt>
                      <c:pt idx="23">
                        <c:v>13.766666666666666</c:v>
                      </c:pt>
                      <c:pt idx="24">
                        <c:v>14.6</c:v>
                      </c:pt>
                      <c:pt idx="25">
                        <c:v>14.766666666666666</c:v>
                      </c:pt>
                      <c:pt idx="26">
                        <c:v>15.183333333333332</c:v>
                      </c:pt>
                      <c:pt idx="27">
                        <c:v>15.599999999999998</c:v>
                      </c:pt>
                      <c:pt idx="28">
                        <c:v>16.516666666666666</c:v>
                      </c:pt>
                      <c:pt idx="29">
                        <c:v>17.433333333333334</c:v>
                      </c:pt>
                      <c:pt idx="30">
                        <c:v>18.100000000000001</c:v>
                      </c:pt>
                      <c:pt idx="31">
                        <c:v>18.933333333333334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CCAC-496E-847D-CA63F5DCE4CC}"/>
                  </c:ext>
                </c:extLst>
              </c15:ser>
            </c15:filteredLineSeries>
          </c:ext>
        </c:extLst>
      </c:lineChart>
      <c:catAx>
        <c:axId val="161745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17456976"/>
        <c:crosses val="autoZero"/>
        <c:auto val="1"/>
        <c:lblAlgn val="ctr"/>
        <c:lblOffset val="100"/>
        <c:noMultiLvlLbl val="0"/>
      </c:catAx>
      <c:valAx>
        <c:axId val="161745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1745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85724</xdr:colOff>
      <xdr:row>4</xdr:row>
      <xdr:rowOff>52386</xdr:rowOff>
    </xdr:from>
    <xdr:to>
      <xdr:col>28</xdr:col>
      <xdr:colOff>247649</xdr:colOff>
      <xdr:row>20</xdr:row>
      <xdr:rowOff>171449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9660188A-3CC0-668E-7266-5425D3AA97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95249</xdr:colOff>
      <xdr:row>25</xdr:row>
      <xdr:rowOff>185736</xdr:rowOff>
    </xdr:from>
    <xdr:to>
      <xdr:col>26</xdr:col>
      <xdr:colOff>352424</xdr:colOff>
      <xdr:row>40</xdr:row>
      <xdr:rowOff>114299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02AA51E7-0AA3-8B4C-2A52-6B02E408E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209549</xdr:colOff>
      <xdr:row>10</xdr:row>
      <xdr:rowOff>176211</xdr:rowOff>
    </xdr:from>
    <xdr:to>
      <xdr:col>37</xdr:col>
      <xdr:colOff>447674</xdr:colOff>
      <xdr:row>33</xdr:row>
      <xdr:rowOff>66674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AD36EF7C-6F60-A542-FB44-87B7DBCFC0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workbookViewId="0">
      <selection activeCell="H39" sqref="H39"/>
    </sheetView>
  </sheetViews>
  <sheetFormatPr defaultRowHeight="15" x14ac:dyDescent="0.25"/>
  <cols>
    <col min="1" max="1" width="10.42578125" customWidth="1"/>
    <col min="5" max="5" width="9.7109375" customWidth="1"/>
  </cols>
  <sheetData>
    <row r="1" spans="1:13" ht="48" customHeight="1" x14ac:dyDescent="0.25">
      <c r="A1" s="1" t="s">
        <v>0</v>
      </c>
      <c r="B1" s="1" t="s">
        <v>1</v>
      </c>
      <c r="C1" s="1" t="s">
        <v>2</v>
      </c>
      <c r="D1" s="1" t="s">
        <v>10</v>
      </c>
      <c r="E1" s="1" t="s">
        <v>11</v>
      </c>
      <c r="F1" s="1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1" t="s">
        <v>12</v>
      </c>
    </row>
    <row r="2" spans="1:13" x14ac:dyDescent="0.25">
      <c r="A2">
        <v>1</v>
      </c>
      <c r="B2">
        <v>0</v>
      </c>
      <c r="C2">
        <v>40</v>
      </c>
      <c r="D2">
        <f>B2/60</f>
        <v>0</v>
      </c>
      <c r="E2">
        <f>C2/60</f>
        <v>0.66666666666666663</v>
      </c>
      <c r="F2">
        <v>5</v>
      </c>
      <c r="G2">
        <f>1/AVERAGE(D2:D33)</f>
        <v>1.6901408450704225</v>
      </c>
      <c r="H2">
        <f>1/AVERAGE(E2:E33)</f>
        <v>0.98613251155624027</v>
      </c>
      <c r="I2">
        <f>G2/($F$2*H2)</f>
        <v>0.34278169014084509</v>
      </c>
      <c r="J2">
        <f>1/(1 + (F2*I2) + ((F2*I2)^F2)/(FACT(F2)*(1-I2)))</f>
        <v>0.3446578385803431</v>
      </c>
      <c r="K2">
        <f>(J2*(F2*I2)^F2*I2)/(FACT(F2)*(1-I2)^2)</f>
        <v>3.3708802316933871E-2</v>
      </c>
      <c r="L2">
        <f>K2/G2</f>
        <v>1.9944374704185874E-2</v>
      </c>
      <c r="M2">
        <f>SUM($D$2:D2)</f>
        <v>0</v>
      </c>
    </row>
    <row r="3" spans="1:13" x14ac:dyDescent="0.25">
      <c r="A3">
        <v>2</v>
      </c>
      <c r="B3">
        <v>6</v>
      </c>
      <c r="C3">
        <v>60</v>
      </c>
      <c r="D3">
        <f t="shared" ref="D3:D33" si="0">B3/60</f>
        <v>0.1</v>
      </c>
      <c r="E3">
        <f t="shared" ref="E3:E33" si="1">C3/60</f>
        <v>1</v>
      </c>
      <c r="F3">
        <v>5</v>
      </c>
      <c r="G3">
        <f t="shared" ref="G3:G33" si="2">1/AVERAGE(D3:D34)</f>
        <v>1.637323943661972</v>
      </c>
      <c r="H3">
        <f t="shared" ref="H3:H33" si="3">1/AVERAGE(E3:E34)</f>
        <v>0.97535395909805966</v>
      </c>
      <c r="I3">
        <f t="shared" ref="I3:I33" si="4">G3/($F$2*H3)</f>
        <v>0.33573943661971839</v>
      </c>
      <c r="J3">
        <f t="shared" ref="J3:J33" si="5">1/(1 + (F3*I3) + ((F3*I3)^F3)/(FACT(F3)*(1-I3)))</f>
        <v>0.35137800800965963</v>
      </c>
      <c r="K3">
        <f t="shared" ref="K3:K33" si="6">(J3*(F3*I3)^F3*I3)/(FACT(F3)*(1-I3)^2)</f>
        <v>2.9701648700630714E-2</v>
      </c>
      <c r="L3">
        <f t="shared" ref="L3:L33" si="7">K3/G3</f>
        <v>1.8140361787051876E-2</v>
      </c>
      <c r="M3">
        <f>SUM($D$2:D3)</f>
        <v>0.1</v>
      </c>
    </row>
    <row r="4" spans="1:13" x14ac:dyDescent="0.25">
      <c r="A4">
        <v>3</v>
      </c>
      <c r="B4">
        <v>40</v>
      </c>
      <c r="C4">
        <v>65</v>
      </c>
      <c r="D4">
        <f t="shared" si="0"/>
        <v>0.66666666666666663</v>
      </c>
      <c r="E4">
        <f t="shared" si="1"/>
        <v>1.0833333333333333</v>
      </c>
      <c r="F4">
        <v>5</v>
      </c>
      <c r="G4">
        <f t="shared" si="2"/>
        <v>1.5929203539823009</v>
      </c>
      <c r="H4">
        <f t="shared" si="3"/>
        <v>0.97455332972387643</v>
      </c>
      <c r="I4">
        <f t="shared" si="4"/>
        <v>0.32690265486725667</v>
      </c>
      <c r="J4">
        <f t="shared" si="5"/>
        <v>0.35984790715137777</v>
      </c>
      <c r="K4">
        <f t="shared" si="6"/>
        <v>2.5243099978804168E-2</v>
      </c>
      <c r="L4">
        <f t="shared" si="7"/>
        <v>1.5847057208915948E-2</v>
      </c>
      <c r="M4">
        <f>SUM($D$2:D4)</f>
        <v>0.76666666666666661</v>
      </c>
    </row>
    <row r="5" spans="1:13" x14ac:dyDescent="0.25">
      <c r="A5">
        <v>4</v>
      </c>
      <c r="B5">
        <v>30</v>
      </c>
      <c r="C5">
        <v>60</v>
      </c>
      <c r="D5">
        <f t="shared" si="0"/>
        <v>0.5</v>
      </c>
      <c r="E5">
        <f t="shared" si="1"/>
        <v>1</v>
      </c>
      <c r="F5">
        <v>5</v>
      </c>
      <c r="G5">
        <f t="shared" si="2"/>
        <v>1.596330275229358</v>
      </c>
      <c r="H5">
        <f t="shared" si="3"/>
        <v>0.97643097643097632</v>
      </c>
      <c r="I5">
        <f t="shared" si="4"/>
        <v>0.32697247706422028</v>
      </c>
      <c r="J5">
        <f t="shared" si="5"/>
        <v>0.35978078809472841</v>
      </c>
      <c r="K5">
        <f t="shared" si="6"/>
        <v>2.5275996089871456E-2</v>
      </c>
      <c r="L5">
        <f t="shared" si="7"/>
        <v>1.5833813642505679E-2</v>
      </c>
      <c r="M5">
        <f>SUM($D$2:D5)</f>
        <v>1.2666666666666666</v>
      </c>
    </row>
    <row r="6" spans="1:13" x14ac:dyDescent="0.25">
      <c r="A6">
        <v>5</v>
      </c>
      <c r="B6">
        <v>50</v>
      </c>
      <c r="C6">
        <v>40</v>
      </c>
      <c r="D6">
        <f t="shared" si="0"/>
        <v>0.83333333333333337</v>
      </c>
      <c r="E6">
        <f t="shared" si="1"/>
        <v>0.66666666666666663</v>
      </c>
      <c r="F6">
        <v>5</v>
      </c>
      <c r="G6">
        <f t="shared" si="2"/>
        <v>1.5849056603773588</v>
      </c>
      <c r="H6">
        <f t="shared" si="3"/>
        <v>0.97560975609756084</v>
      </c>
      <c r="I6">
        <f t="shared" si="4"/>
        <v>0.32490566037735863</v>
      </c>
      <c r="J6">
        <f t="shared" si="5"/>
        <v>0.36176906925842894</v>
      </c>
      <c r="K6">
        <f t="shared" si="6"/>
        <v>2.4317276895043382E-2</v>
      </c>
      <c r="L6">
        <f t="shared" si="7"/>
        <v>1.534304375520594E-2</v>
      </c>
      <c r="M6">
        <f>SUM($D$2:D6)</f>
        <v>2.1</v>
      </c>
    </row>
    <row r="7" spans="1:13" x14ac:dyDescent="0.25">
      <c r="A7">
        <v>6</v>
      </c>
      <c r="B7">
        <v>30</v>
      </c>
      <c r="C7">
        <v>55</v>
      </c>
      <c r="D7">
        <f t="shared" si="0"/>
        <v>0.5</v>
      </c>
      <c r="E7">
        <f t="shared" si="1"/>
        <v>0.91666666666666663</v>
      </c>
      <c r="F7">
        <v>5</v>
      </c>
      <c r="G7">
        <f t="shared" si="2"/>
        <v>1.6039603960396045</v>
      </c>
      <c r="H7">
        <f t="shared" si="3"/>
        <v>0.96313912009512459</v>
      </c>
      <c r="I7">
        <f t="shared" si="4"/>
        <v>0.33306930693069325</v>
      </c>
      <c r="J7">
        <f t="shared" si="5"/>
        <v>0.35393236866724903</v>
      </c>
      <c r="K7">
        <f t="shared" si="6"/>
        <v>2.829015512550891E-2</v>
      </c>
      <c r="L7">
        <f t="shared" si="7"/>
        <v>1.7637689306644437E-2</v>
      </c>
      <c r="M7">
        <f>SUM($D$2:D7)</f>
        <v>2.6</v>
      </c>
    </row>
    <row r="8" spans="1:13" x14ac:dyDescent="0.25">
      <c r="A8">
        <v>7</v>
      </c>
      <c r="B8">
        <v>25</v>
      </c>
      <c r="C8">
        <v>65</v>
      </c>
      <c r="D8">
        <f t="shared" si="0"/>
        <v>0.41666666666666669</v>
      </c>
      <c r="E8">
        <f t="shared" si="1"/>
        <v>1.0833333333333333</v>
      </c>
      <c r="F8">
        <v>5</v>
      </c>
      <c r="G8">
        <f t="shared" si="2"/>
        <v>1.5918367346938775</v>
      </c>
      <c r="H8">
        <f t="shared" si="3"/>
        <v>0.95881991395205879</v>
      </c>
      <c r="I8">
        <f t="shared" si="4"/>
        <v>0.33204081632653065</v>
      </c>
      <c r="J8">
        <f t="shared" si="5"/>
        <v>0.35491733381595791</v>
      </c>
      <c r="K8">
        <f t="shared" si="6"/>
        <v>2.7761630712915417E-2</v>
      </c>
      <c r="L8">
        <f t="shared" si="7"/>
        <v>1.7439998781190454E-2</v>
      </c>
      <c r="M8">
        <f>SUM($D$2:D8)</f>
        <v>3.0166666666666666</v>
      </c>
    </row>
    <row r="9" spans="1:13" x14ac:dyDescent="0.25">
      <c r="A9">
        <v>8</v>
      </c>
      <c r="B9">
        <v>5</v>
      </c>
      <c r="C9">
        <v>60</v>
      </c>
      <c r="D9">
        <f t="shared" si="0"/>
        <v>8.3333333333333329E-2</v>
      </c>
      <c r="E9">
        <f t="shared" si="1"/>
        <v>1</v>
      </c>
      <c r="F9">
        <v>5</v>
      </c>
      <c r="G9">
        <f t="shared" si="2"/>
        <v>1.5706806282722514</v>
      </c>
      <c r="H9">
        <f t="shared" si="3"/>
        <v>0.96030729833546724</v>
      </c>
      <c r="I9">
        <f t="shared" si="4"/>
        <v>0.32712041884816762</v>
      </c>
      <c r="J9">
        <f t="shared" si="5"/>
        <v>0.35963858511517449</v>
      </c>
      <c r="K9">
        <f t="shared" si="6"/>
        <v>2.5345816043819146E-2</v>
      </c>
      <c r="L9">
        <f t="shared" si="7"/>
        <v>1.6136836214564857E-2</v>
      </c>
      <c r="M9">
        <f>SUM($D$2:D9)</f>
        <v>3.1</v>
      </c>
    </row>
    <row r="10" spans="1:13" x14ac:dyDescent="0.25">
      <c r="A10">
        <v>9</v>
      </c>
      <c r="B10">
        <v>15</v>
      </c>
      <c r="C10">
        <v>60</v>
      </c>
      <c r="D10">
        <f t="shared" si="0"/>
        <v>0.25</v>
      </c>
      <c r="E10">
        <f t="shared" si="1"/>
        <v>1</v>
      </c>
      <c r="F10">
        <v>5</v>
      </c>
      <c r="G10">
        <f t="shared" si="2"/>
        <v>1.5157894736842106</v>
      </c>
      <c r="H10">
        <f t="shared" si="3"/>
        <v>0.95872170439414084</v>
      </c>
      <c r="I10">
        <f t="shared" si="4"/>
        <v>0.31621052631578961</v>
      </c>
      <c r="J10">
        <f t="shared" si="5"/>
        <v>0.37017115721213473</v>
      </c>
      <c r="K10">
        <f t="shared" si="6"/>
        <v>2.061030736932851E-2</v>
      </c>
      <c r="L10">
        <f t="shared" si="7"/>
        <v>1.3597077778376447E-2</v>
      </c>
      <c r="M10">
        <f>SUM($D$2:D10)</f>
        <v>3.35</v>
      </c>
    </row>
    <row r="11" spans="1:13" x14ac:dyDescent="0.25">
      <c r="A11">
        <v>10</v>
      </c>
      <c r="B11">
        <v>15</v>
      </c>
      <c r="C11">
        <v>70</v>
      </c>
      <c r="D11">
        <f t="shared" si="0"/>
        <v>0.25</v>
      </c>
      <c r="E11">
        <f t="shared" si="1"/>
        <v>1.1666666666666667</v>
      </c>
      <c r="F11">
        <v>5</v>
      </c>
      <c r="G11">
        <f t="shared" si="2"/>
        <v>1.4759358288770055</v>
      </c>
      <c r="H11">
        <f t="shared" si="3"/>
        <v>0.95700416088765572</v>
      </c>
      <c r="I11">
        <f t="shared" si="4"/>
        <v>0.3084491978609627</v>
      </c>
      <c r="J11">
        <f t="shared" si="5"/>
        <v>0.37773126654325656</v>
      </c>
      <c r="K11">
        <f t="shared" si="6"/>
        <v>1.7713541646314807E-2</v>
      </c>
      <c r="L11">
        <f t="shared" si="7"/>
        <v>1.2001566260365465E-2</v>
      </c>
      <c r="M11">
        <f>SUM($D$2:D11)</f>
        <v>3.6</v>
      </c>
    </row>
    <row r="12" spans="1:13" x14ac:dyDescent="0.25">
      <c r="A12">
        <v>11</v>
      </c>
      <c r="B12">
        <v>10</v>
      </c>
      <c r="C12">
        <v>65</v>
      </c>
      <c r="D12">
        <f t="shared" si="0"/>
        <v>0.16666666666666666</v>
      </c>
      <c r="E12">
        <f t="shared" si="1"/>
        <v>1.0833333333333333</v>
      </c>
      <c r="F12">
        <v>5</v>
      </c>
      <c r="G12">
        <f t="shared" si="2"/>
        <v>1.4347826086956523</v>
      </c>
      <c r="H12">
        <f t="shared" si="3"/>
        <v>0.96209912536443132</v>
      </c>
      <c r="I12">
        <f t="shared" si="4"/>
        <v>0.29826086956521747</v>
      </c>
      <c r="J12">
        <f t="shared" si="5"/>
        <v>0.38776246896223276</v>
      </c>
      <c r="K12">
        <f t="shared" si="6"/>
        <v>1.4436464159429592E-2</v>
      </c>
      <c r="L12">
        <f t="shared" si="7"/>
        <v>1.0061778050511533E-2</v>
      </c>
      <c r="M12">
        <f>SUM($D$2:D12)</f>
        <v>3.7666666666666666</v>
      </c>
    </row>
    <row r="13" spans="1:13" x14ac:dyDescent="0.25">
      <c r="A13">
        <v>12</v>
      </c>
      <c r="B13">
        <v>30</v>
      </c>
      <c r="C13">
        <v>70</v>
      </c>
      <c r="D13">
        <f t="shared" si="0"/>
        <v>0.5</v>
      </c>
      <c r="E13">
        <f t="shared" si="1"/>
        <v>1.1666666666666667</v>
      </c>
      <c r="F13">
        <v>5</v>
      </c>
      <c r="G13">
        <f t="shared" si="2"/>
        <v>1.3846153846153848</v>
      </c>
      <c r="H13">
        <f t="shared" si="3"/>
        <v>0.96403978576893645</v>
      </c>
      <c r="I13">
        <f t="shared" si="4"/>
        <v>0.2872527472527473</v>
      </c>
      <c r="J13">
        <f t="shared" si="5"/>
        <v>0.39876823955801766</v>
      </c>
      <c r="K13">
        <f t="shared" si="6"/>
        <v>1.1484269571362945E-2</v>
      </c>
      <c r="L13">
        <f t="shared" si="7"/>
        <v>8.2941946904287918E-3</v>
      </c>
      <c r="M13">
        <f>SUM($D$2:D13)</f>
        <v>4.2666666666666666</v>
      </c>
    </row>
    <row r="14" spans="1:13" x14ac:dyDescent="0.25">
      <c r="A14">
        <v>13</v>
      </c>
      <c r="B14">
        <v>40</v>
      </c>
      <c r="C14">
        <v>65</v>
      </c>
      <c r="D14">
        <f t="shared" si="0"/>
        <v>0.66666666666666663</v>
      </c>
      <c r="E14">
        <f t="shared" si="1"/>
        <v>1.0833333333333333</v>
      </c>
      <c r="F14">
        <v>5</v>
      </c>
      <c r="G14">
        <f t="shared" si="2"/>
        <v>1.3636363636363638</v>
      </c>
      <c r="H14">
        <f t="shared" si="3"/>
        <v>0.97008892481810838</v>
      </c>
      <c r="I14">
        <f t="shared" si="4"/>
        <v>0.28113636363636363</v>
      </c>
      <c r="J14">
        <f t="shared" si="5"/>
        <v>0.40497244169009522</v>
      </c>
      <c r="K14">
        <f t="shared" si="6"/>
        <v>1.0076352551281344E-2</v>
      </c>
      <c r="L14">
        <f t="shared" si="7"/>
        <v>7.3893252042729844E-3</v>
      </c>
      <c r="M14">
        <f>SUM($D$2:D14)</f>
        <v>4.9333333333333336</v>
      </c>
    </row>
    <row r="15" spans="1:13" x14ac:dyDescent="0.25">
      <c r="A15">
        <v>14</v>
      </c>
      <c r="B15">
        <v>40</v>
      </c>
      <c r="C15">
        <v>75</v>
      </c>
      <c r="D15">
        <f t="shared" si="0"/>
        <v>0.66666666666666663</v>
      </c>
      <c r="E15">
        <f t="shared" si="1"/>
        <v>1.25</v>
      </c>
      <c r="F15">
        <v>5</v>
      </c>
      <c r="G15">
        <f t="shared" si="2"/>
        <v>1.3571428571428574</v>
      </c>
      <c r="H15">
        <f t="shared" si="3"/>
        <v>0.97269624573378832</v>
      </c>
      <c r="I15">
        <f t="shared" si="4"/>
        <v>0.2790476190476191</v>
      </c>
      <c r="J15">
        <f t="shared" si="5"/>
        <v>0.40710745496256329</v>
      </c>
      <c r="K15">
        <f t="shared" si="6"/>
        <v>9.6301842805081098E-3</v>
      </c>
      <c r="L15">
        <f t="shared" si="7"/>
        <v>7.0959252593217632E-3</v>
      </c>
      <c r="M15">
        <f>SUM($D$2:D15)</f>
        <v>5.6000000000000005</v>
      </c>
    </row>
    <row r="16" spans="1:13" x14ac:dyDescent="0.25">
      <c r="A16">
        <v>15</v>
      </c>
      <c r="B16">
        <v>40</v>
      </c>
      <c r="C16">
        <v>60</v>
      </c>
      <c r="D16">
        <f t="shared" si="0"/>
        <v>0.66666666666666663</v>
      </c>
      <c r="E16">
        <f t="shared" si="1"/>
        <v>1</v>
      </c>
      <c r="F16">
        <v>5</v>
      </c>
      <c r="G16">
        <f t="shared" si="2"/>
        <v>1.35</v>
      </c>
      <c r="H16">
        <f t="shared" si="3"/>
        <v>0.98450319051959878</v>
      </c>
      <c r="I16">
        <f t="shared" si="4"/>
        <v>0.27425000000000005</v>
      </c>
      <c r="J16">
        <f t="shared" si="5"/>
        <v>0.41204503371480394</v>
      </c>
      <c r="K16">
        <f t="shared" si="6"/>
        <v>8.6680056984970305E-3</v>
      </c>
      <c r="L16">
        <f t="shared" si="7"/>
        <v>6.4207449618496519E-3</v>
      </c>
      <c r="M16">
        <f>SUM($D$2:D16)</f>
        <v>6.2666666666666675</v>
      </c>
    </row>
    <row r="17" spans="1:13" x14ac:dyDescent="0.25">
      <c r="A17">
        <v>16</v>
      </c>
      <c r="B17">
        <v>50</v>
      </c>
      <c r="C17">
        <v>50</v>
      </c>
      <c r="D17">
        <f t="shared" si="0"/>
        <v>0.83333333333333337</v>
      </c>
      <c r="E17">
        <f t="shared" si="1"/>
        <v>0.83333333333333337</v>
      </c>
      <c r="F17">
        <v>5</v>
      </c>
      <c r="G17">
        <f t="shared" si="2"/>
        <v>1.3421052631578949</v>
      </c>
      <c r="H17">
        <f t="shared" si="3"/>
        <v>0.98360655737704927</v>
      </c>
      <c r="I17">
        <f t="shared" si="4"/>
        <v>0.2728947368421053</v>
      </c>
      <c r="J17">
        <f t="shared" si="5"/>
        <v>0.41344871351751267</v>
      </c>
      <c r="K17">
        <f t="shared" si="6"/>
        <v>8.4113712669122813E-3</v>
      </c>
      <c r="L17">
        <f t="shared" si="7"/>
        <v>6.2672962380915026E-3</v>
      </c>
      <c r="M17">
        <f>SUM($D$2:D17)</f>
        <v>7.1000000000000005</v>
      </c>
    </row>
    <row r="18" spans="1:13" x14ac:dyDescent="0.25">
      <c r="A18">
        <v>17</v>
      </c>
      <c r="B18">
        <v>50</v>
      </c>
      <c r="C18">
        <v>65</v>
      </c>
      <c r="D18">
        <f t="shared" si="0"/>
        <v>0.83333333333333337</v>
      </c>
      <c r="E18">
        <f t="shared" si="1"/>
        <v>1.0833333333333333</v>
      </c>
      <c r="F18">
        <v>5</v>
      </c>
      <c r="G18">
        <f t="shared" si="2"/>
        <v>1.3521126760563384</v>
      </c>
      <c r="H18">
        <f t="shared" si="3"/>
        <v>0.97264437689969629</v>
      </c>
      <c r="I18">
        <f t="shared" si="4"/>
        <v>0.2780281690140845</v>
      </c>
      <c r="J18">
        <f t="shared" si="5"/>
        <v>0.40815265278276025</v>
      </c>
      <c r="K18">
        <f t="shared" si="6"/>
        <v>9.4185422566514694E-3</v>
      </c>
      <c r="L18">
        <f t="shared" si="7"/>
        <v>6.9657968773151474E-3</v>
      </c>
      <c r="M18">
        <f>SUM($D$2:D18)</f>
        <v>7.9333333333333336</v>
      </c>
    </row>
    <row r="19" spans="1:13" x14ac:dyDescent="0.25">
      <c r="A19">
        <v>18</v>
      </c>
      <c r="B19">
        <v>55</v>
      </c>
      <c r="C19">
        <v>65</v>
      </c>
      <c r="D19">
        <f t="shared" si="0"/>
        <v>0.91666666666666663</v>
      </c>
      <c r="E19">
        <f t="shared" si="1"/>
        <v>1.0833333333333333</v>
      </c>
      <c r="F19">
        <v>5</v>
      </c>
      <c r="G19">
        <f t="shared" si="2"/>
        <v>1.3636363636363638</v>
      </c>
      <c r="H19">
        <f t="shared" si="3"/>
        <v>0.97613882863340584</v>
      </c>
      <c r="I19">
        <f t="shared" si="4"/>
        <v>0.27939393939393936</v>
      </c>
      <c r="J19">
        <f t="shared" si="5"/>
        <v>0.40675286473790118</v>
      </c>
      <c r="K19">
        <f t="shared" si="6"/>
        <v>9.7029872835833839E-3</v>
      </c>
      <c r="L19">
        <f t="shared" si="7"/>
        <v>7.1155240079611472E-3</v>
      </c>
      <c r="M19">
        <f>SUM($D$2:D19)</f>
        <v>8.85</v>
      </c>
    </row>
    <row r="20" spans="1:13" x14ac:dyDescent="0.25">
      <c r="A20">
        <v>19</v>
      </c>
      <c r="B20">
        <v>45</v>
      </c>
      <c r="C20">
        <v>65</v>
      </c>
      <c r="D20">
        <f t="shared" si="0"/>
        <v>0.75</v>
      </c>
      <c r="E20">
        <f t="shared" si="1"/>
        <v>1.0833333333333333</v>
      </c>
      <c r="F20">
        <v>5</v>
      </c>
      <c r="G20">
        <f t="shared" si="2"/>
        <v>1.3884297520661157</v>
      </c>
      <c r="H20">
        <f t="shared" si="3"/>
        <v>0.98016336056009346</v>
      </c>
      <c r="I20">
        <f t="shared" si="4"/>
        <v>0.28330578512396692</v>
      </c>
      <c r="J20">
        <f t="shared" si="5"/>
        <v>0.40276393137600003</v>
      </c>
      <c r="K20">
        <f t="shared" si="6"/>
        <v>1.0558061972296398E-2</v>
      </c>
      <c r="L20">
        <f t="shared" si="7"/>
        <v>7.6043184443325244E-3</v>
      </c>
      <c r="M20">
        <f>SUM($D$2:D20)</f>
        <v>9.6</v>
      </c>
    </row>
    <row r="21" spans="1:13" x14ac:dyDescent="0.25">
      <c r="A21">
        <v>20</v>
      </c>
      <c r="B21">
        <v>55</v>
      </c>
      <c r="C21">
        <v>75</v>
      </c>
      <c r="D21">
        <f t="shared" si="0"/>
        <v>0.91666666666666663</v>
      </c>
      <c r="E21">
        <f t="shared" si="1"/>
        <v>1.25</v>
      </c>
      <c r="F21">
        <v>5</v>
      </c>
      <c r="G21">
        <f t="shared" si="2"/>
        <v>1.3928571428571428</v>
      </c>
      <c r="H21">
        <f t="shared" si="3"/>
        <v>0.98484848484848486</v>
      </c>
      <c r="I21">
        <f t="shared" si="4"/>
        <v>0.28285714285714286</v>
      </c>
      <c r="J21">
        <f t="shared" si="5"/>
        <v>0.40321992358871123</v>
      </c>
      <c r="K21">
        <f t="shared" si="6"/>
        <v>1.0456884373208379E-2</v>
      </c>
      <c r="L21">
        <f t="shared" si="7"/>
        <v>7.5075067294829391E-3</v>
      </c>
      <c r="M21">
        <f>SUM($D$2:D21)</f>
        <v>10.516666666666666</v>
      </c>
    </row>
    <row r="22" spans="1:13" x14ac:dyDescent="0.25">
      <c r="A22">
        <v>21</v>
      </c>
      <c r="B22">
        <v>55</v>
      </c>
      <c r="C22">
        <v>70</v>
      </c>
      <c r="D22">
        <f t="shared" si="0"/>
        <v>0.91666666666666663</v>
      </c>
      <c r="E22">
        <f t="shared" si="1"/>
        <v>1.1666666666666667</v>
      </c>
      <c r="F22">
        <v>5</v>
      </c>
      <c r="G22">
        <f t="shared" si="2"/>
        <v>1.4257425742574257</v>
      </c>
      <c r="H22">
        <f t="shared" si="3"/>
        <v>1.0041841004184102</v>
      </c>
      <c r="I22">
        <f t="shared" si="4"/>
        <v>0.28396039603960394</v>
      </c>
      <c r="J22">
        <f t="shared" si="5"/>
        <v>0.4020992718259957</v>
      </c>
      <c r="K22">
        <f t="shared" si="6"/>
        <v>1.0707167930353624E-2</v>
      </c>
      <c r="L22">
        <f t="shared" si="7"/>
        <v>7.5098886178174727E-3</v>
      </c>
      <c r="M22">
        <f>SUM($D$2:D22)</f>
        <v>11.433333333333332</v>
      </c>
    </row>
    <row r="23" spans="1:13" x14ac:dyDescent="0.25">
      <c r="A23">
        <v>22</v>
      </c>
      <c r="B23">
        <v>50</v>
      </c>
      <c r="C23">
        <v>60</v>
      </c>
      <c r="D23">
        <f t="shared" si="0"/>
        <v>0.83333333333333337</v>
      </c>
      <c r="E23">
        <f t="shared" si="1"/>
        <v>1</v>
      </c>
      <c r="F23">
        <v>5</v>
      </c>
      <c r="G23">
        <f t="shared" si="2"/>
        <v>1.4666666666666666</v>
      </c>
      <c r="H23">
        <f t="shared" si="3"/>
        <v>1.0200927357032457</v>
      </c>
      <c r="I23">
        <f t="shared" si="4"/>
        <v>0.28755555555555556</v>
      </c>
      <c r="J23">
        <f t="shared" si="5"/>
        <v>0.3984628431007014</v>
      </c>
      <c r="K23">
        <f t="shared" si="6"/>
        <v>1.1558066047950743E-2</v>
      </c>
      <c r="L23">
        <f t="shared" si="7"/>
        <v>7.880499578148235E-3</v>
      </c>
      <c r="M23">
        <f>SUM($D$2:D23)</f>
        <v>12.266666666666666</v>
      </c>
    </row>
    <row r="24" spans="1:13" x14ac:dyDescent="0.25">
      <c r="A24">
        <v>23</v>
      </c>
      <c r="B24">
        <v>45</v>
      </c>
      <c r="C24">
        <v>65</v>
      </c>
      <c r="D24">
        <f t="shared" si="0"/>
        <v>0.75</v>
      </c>
      <c r="E24">
        <f t="shared" si="1"/>
        <v>1.0833333333333333</v>
      </c>
      <c r="F24">
        <v>5</v>
      </c>
      <c r="G24">
        <f t="shared" si="2"/>
        <v>1.4999999999999998</v>
      </c>
      <c r="H24">
        <f t="shared" si="3"/>
        <v>1.0221465076660989</v>
      </c>
      <c r="I24">
        <f t="shared" si="4"/>
        <v>0.29349999999999993</v>
      </c>
      <c r="J24">
        <f t="shared" si="5"/>
        <v>0.3924988585989479</v>
      </c>
      <c r="K24">
        <f t="shared" si="6"/>
        <v>1.3089753702027992E-2</v>
      </c>
      <c r="L24">
        <f t="shared" si="7"/>
        <v>8.7265024680186626E-3</v>
      </c>
      <c r="M24">
        <f>SUM($D$2:D24)</f>
        <v>13.016666666666666</v>
      </c>
    </row>
    <row r="25" spans="1:13" x14ac:dyDescent="0.25">
      <c r="A25">
        <v>24</v>
      </c>
      <c r="B25">
        <v>45</v>
      </c>
      <c r="C25">
        <v>62</v>
      </c>
      <c r="D25">
        <f t="shared" si="0"/>
        <v>0.75</v>
      </c>
      <c r="E25">
        <f t="shared" si="1"/>
        <v>1.0333333333333334</v>
      </c>
      <c r="F25">
        <v>5</v>
      </c>
      <c r="G25">
        <f t="shared" si="2"/>
        <v>1.5211267605633803</v>
      </c>
      <c r="H25">
        <f t="shared" si="3"/>
        <v>1.0344827586206897</v>
      </c>
      <c r="I25">
        <f t="shared" si="4"/>
        <v>0.29408450704225353</v>
      </c>
      <c r="J25">
        <f t="shared" si="5"/>
        <v>0.39191551307678557</v>
      </c>
      <c r="K25">
        <f t="shared" si="6"/>
        <v>1.3249170119096824E-2</v>
      </c>
      <c r="L25">
        <f t="shared" si="7"/>
        <v>8.7101025782951348E-3</v>
      </c>
      <c r="M25">
        <f>SUM($D$2:D25)</f>
        <v>13.766666666666666</v>
      </c>
    </row>
    <row r="26" spans="1:13" x14ac:dyDescent="0.25">
      <c r="A26">
        <v>25</v>
      </c>
      <c r="B26">
        <v>50</v>
      </c>
      <c r="C26">
        <v>60</v>
      </c>
      <c r="D26">
        <f t="shared" si="0"/>
        <v>0.83333333333333337</v>
      </c>
      <c r="E26">
        <f t="shared" si="1"/>
        <v>1</v>
      </c>
      <c r="F26">
        <v>5</v>
      </c>
      <c r="G26">
        <f t="shared" si="2"/>
        <v>1.5483870967741937</v>
      </c>
      <c r="H26">
        <f t="shared" si="3"/>
        <v>1.0434782608695652</v>
      </c>
      <c r="I26">
        <f t="shared" si="4"/>
        <v>0.29677419354838713</v>
      </c>
      <c r="J26">
        <f t="shared" si="5"/>
        <v>0.38923788679076776</v>
      </c>
      <c r="K26">
        <f t="shared" si="6"/>
        <v>1.4003967146226823E-2</v>
      </c>
      <c r="L26">
        <f t="shared" si="7"/>
        <v>9.0442287819381562E-3</v>
      </c>
      <c r="M26">
        <f>SUM($D$2:D26)</f>
        <v>14.6</v>
      </c>
    </row>
    <row r="27" spans="1:13" x14ac:dyDescent="0.25">
      <c r="A27">
        <v>26</v>
      </c>
      <c r="B27">
        <v>10</v>
      </c>
      <c r="C27">
        <v>40</v>
      </c>
      <c r="D27">
        <f t="shared" si="0"/>
        <v>0.16666666666666666</v>
      </c>
      <c r="E27">
        <f t="shared" si="1"/>
        <v>0.66666666666666663</v>
      </c>
      <c r="F27">
        <v>5</v>
      </c>
      <c r="G27">
        <f t="shared" si="2"/>
        <v>1.6153846153846156</v>
      </c>
      <c r="H27">
        <f t="shared" si="3"/>
        <v>1.05</v>
      </c>
      <c r="I27">
        <f t="shared" si="4"/>
        <v>0.30769230769230776</v>
      </c>
      <c r="J27">
        <f t="shared" si="5"/>
        <v>0.37847203987971689</v>
      </c>
      <c r="K27">
        <f t="shared" si="6"/>
        <v>1.7450348169892028E-2</v>
      </c>
      <c r="L27">
        <f t="shared" si="7"/>
        <v>1.0802596486123636E-2</v>
      </c>
      <c r="M27">
        <f>SUM($D$2:D27)</f>
        <v>14.766666666666666</v>
      </c>
    </row>
    <row r="28" spans="1:13" x14ac:dyDescent="0.25">
      <c r="A28">
        <v>27</v>
      </c>
      <c r="B28">
        <v>25</v>
      </c>
      <c r="C28">
        <v>55</v>
      </c>
      <c r="D28">
        <f t="shared" si="0"/>
        <v>0.41666666666666669</v>
      </c>
      <c r="E28">
        <f t="shared" si="1"/>
        <v>0.91666666666666663</v>
      </c>
      <c r="F28">
        <v>5</v>
      </c>
      <c r="G28">
        <f t="shared" si="2"/>
        <v>1.4400000000000004</v>
      </c>
      <c r="H28">
        <f t="shared" si="3"/>
        <v>1</v>
      </c>
      <c r="I28">
        <f t="shared" si="4"/>
        <v>0.28800000000000009</v>
      </c>
      <c r="J28">
        <f t="shared" si="5"/>
        <v>0.39801488877495572</v>
      </c>
      <c r="K28">
        <f t="shared" si="6"/>
        <v>1.1667103033796471E-2</v>
      </c>
      <c r="L28">
        <f t="shared" si="7"/>
        <v>8.1021548845808811E-3</v>
      </c>
      <c r="M28">
        <f>SUM($D$2:D28)</f>
        <v>15.183333333333332</v>
      </c>
    </row>
    <row r="29" spans="1:13" x14ac:dyDescent="0.25">
      <c r="A29">
        <v>28</v>
      </c>
      <c r="B29">
        <v>25</v>
      </c>
      <c r="C29">
        <v>75</v>
      </c>
      <c r="D29">
        <f t="shared" si="0"/>
        <v>0.41666666666666669</v>
      </c>
      <c r="E29">
        <f t="shared" si="1"/>
        <v>1.25</v>
      </c>
      <c r="F29">
        <v>5</v>
      </c>
      <c r="G29">
        <f t="shared" si="2"/>
        <v>1.3333333333333333</v>
      </c>
      <c r="H29">
        <f t="shared" si="3"/>
        <v>0.98360655737704927</v>
      </c>
      <c r="I29">
        <f t="shared" si="4"/>
        <v>0.27111111111111108</v>
      </c>
      <c r="J29">
        <f t="shared" si="5"/>
        <v>0.41530226932756636</v>
      </c>
      <c r="K29">
        <f t="shared" si="6"/>
        <v>8.083404678584873E-3</v>
      </c>
      <c r="L29">
        <f t="shared" si="7"/>
        <v>6.0625535089386551E-3</v>
      </c>
      <c r="M29">
        <f>SUM($D$2:D29)</f>
        <v>15.599999999999998</v>
      </c>
    </row>
    <row r="30" spans="1:13" x14ac:dyDescent="0.25">
      <c r="A30">
        <v>29</v>
      </c>
      <c r="B30">
        <v>55</v>
      </c>
      <c r="C30">
        <v>60</v>
      </c>
      <c r="D30">
        <f t="shared" si="0"/>
        <v>0.91666666666666663</v>
      </c>
      <c r="E30">
        <f t="shared" si="1"/>
        <v>1</v>
      </c>
      <c r="F30">
        <v>5</v>
      </c>
      <c r="G30">
        <f t="shared" si="2"/>
        <v>1.2</v>
      </c>
      <c r="H30">
        <f t="shared" si="3"/>
        <v>1.0434782608695652</v>
      </c>
      <c r="I30">
        <f t="shared" si="4"/>
        <v>0.22999999999999998</v>
      </c>
      <c r="J30">
        <f t="shared" si="5"/>
        <v>0.46045435330197526</v>
      </c>
      <c r="K30">
        <f t="shared" si="6"/>
        <v>2.9939250547704245E-3</v>
      </c>
      <c r="L30">
        <f t="shared" si="7"/>
        <v>2.4949375456420203E-3</v>
      </c>
      <c r="M30">
        <f>SUM($D$2:D30)</f>
        <v>16.516666666666666</v>
      </c>
    </row>
    <row r="31" spans="1:13" x14ac:dyDescent="0.25">
      <c r="A31">
        <v>30</v>
      </c>
      <c r="B31">
        <v>55</v>
      </c>
      <c r="C31">
        <v>40</v>
      </c>
      <c r="D31">
        <f t="shared" si="0"/>
        <v>0.91666666666666663</v>
      </c>
      <c r="E31">
        <f t="shared" si="1"/>
        <v>0.66666666666666663</v>
      </c>
      <c r="F31">
        <v>5</v>
      </c>
      <c r="G31">
        <f t="shared" si="2"/>
        <v>1.2413793103448276</v>
      </c>
      <c r="H31">
        <f t="shared" si="3"/>
        <v>1.0588235294117647</v>
      </c>
      <c r="I31">
        <f t="shared" si="4"/>
        <v>0.23448275862068968</v>
      </c>
      <c r="J31">
        <f t="shared" si="5"/>
        <v>0.45526399687364649</v>
      </c>
      <c r="K31">
        <f t="shared" si="6"/>
        <v>3.3626960846999394E-3</v>
      </c>
      <c r="L31">
        <f t="shared" si="7"/>
        <v>2.708838512674951E-3</v>
      </c>
      <c r="M31">
        <f>SUM($D$2:D31)</f>
        <v>17.433333333333334</v>
      </c>
    </row>
    <row r="32" spans="1:13" x14ac:dyDescent="0.25">
      <c r="A32">
        <v>31</v>
      </c>
      <c r="B32">
        <v>40</v>
      </c>
      <c r="C32">
        <v>70</v>
      </c>
      <c r="D32">
        <f t="shared" si="0"/>
        <v>0.66666666666666663</v>
      </c>
      <c r="E32">
        <f t="shared" si="1"/>
        <v>1.1666666666666667</v>
      </c>
      <c r="F32">
        <v>5</v>
      </c>
      <c r="G32">
        <f t="shared" si="2"/>
        <v>1.3333333333333333</v>
      </c>
      <c r="H32">
        <f t="shared" si="3"/>
        <v>0.92307692307692291</v>
      </c>
      <c r="I32">
        <f t="shared" si="4"/>
        <v>0.28888888888888892</v>
      </c>
      <c r="J32">
        <f t="shared" si="5"/>
        <v>0.39712000108444845</v>
      </c>
      <c r="K32">
        <f t="shared" si="6"/>
        <v>1.1887776700860168E-2</v>
      </c>
      <c r="L32">
        <f t="shared" si="7"/>
        <v>8.9158325256451267E-3</v>
      </c>
      <c r="M32">
        <f>SUM($D$2:D32)</f>
        <v>18.100000000000001</v>
      </c>
    </row>
    <row r="33" spans="1:13" x14ac:dyDescent="0.25">
      <c r="A33">
        <v>32</v>
      </c>
      <c r="B33">
        <v>50</v>
      </c>
      <c r="C33">
        <v>60</v>
      </c>
      <c r="D33">
        <f t="shared" si="0"/>
        <v>0.83333333333333337</v>
      </c>
      <c r="E33">
        <f t="shared" si="1"/>
        <v>1</v>
      </c>
      <c r="F33">
        <v>5</v>
      </c>
      <c r="G33">
        <f t="shared" si="2"/>
        <v>1.2</v>
      </c>
      <c r="H33">
        <f t="shared" si="3"/>
        <v>1</v>
      </c>
      <c r="I33">
        <f t="shared" si="4"/>
        <v>0.24</v>
      </c>
      <c r="J33">
        <f t="shared" si="5"/>
        <v>0.44897727702370599</v>
      </c>
      <c r="K33">
        <f t="shared" si="6"/>
        <v>3.8684180677410942E-3</v>
      </c>
      <c r="L33">
        <f t="shared" si="7"/>
        <v>3.2236817231175788E-3</v>
      </c>
      <c r="M33">
        <f>SUM($D$2:D33)</f>
        <v>18.933333333333334</v>
      </c>
    </row>
  </sheetData>
  <pageMargins left="0.7" right="0.7" top="0.75" bottom="0.75" header="0.3" footer="0.3"/>
  <pageSetup paperSize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Dykowski</dc:creator>
  <cp:lastModifiedBy>Michał Dykowski</cp:lastModifiedBy>
  <dcterms:created xsi:type="dcterms:W3CDTF">2006-09-22T13:37:51Z</dcterms:created>
  <dcterms:modified xsi:type="dcterms:W3CDTF">2026-03-01T21:30:17Z</dcterms:modified>
</cp:coreProperties>
</file>